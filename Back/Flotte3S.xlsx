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 Ouali\Desktop\"/>
    </mc:Choice>
  </mc:AlternateContent>
  <xr:revisionPtr revIDLastSave="0" documentId="13_ncr:1_{9FECD955-1053-4165-9AFB-17BC22D5AE32}" xr6:coauthVersionLast="36" xr6:coauthVersionMax="36" xr10:uidLastSave="{00000000-0000-0000-0000-000000000000}"/>
  <bookViews>
    <workbookView xWindow="0" yWindow="0" windowWidth="28800" windowHeight="12810" xr2:uid="{8430B3D6-03B0-4B36-B218-BAECDEA829A8}"/>
  </bookViews>
  <sheets>
    <sheet name="3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8" i="1" l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<sst xmlns="http://schemas.openxmlformats.org/spreadsheetml/2006/main" count="1359" uniqueCount="630">
  <si>
    <t>MARQUE</t>
  </si>
  <si>
    <t>MODELE</t>
  </si>
  <si>
    <t>IMMATRICULATION</t>
  </si>
  <si>
    <t>MEC</t>
  </si>
  <si>
    <t>AGE</t>
  </si>
  <si>
    <t>ETAT</t>
  </si>
  <si>
    <t>PROPRIETAIRE</t>
  </si>
  <si>
    <t>NUM_CHASSIS</t>
  </si>
  <si>
    <t>TYPE_MINES</t>
  </si>
  <si>
    <t>CHERY</t>
  </si>
  <si>
    <t>ARRIZO</t>
  </si>
  <si>
    <t>206TU7519</t>
  </si>
  <si>
    <t>3S</t>
  </si>
  <si>
    <t>LWDC11B4JD080515</t>
  </si>
  <si>
    <t>M3XAE00TL5W0P0M5</t>
  </si>
  <si>
    <t>CITROEN</t>
  </si>
  <si>
    <t>BERLINGO</t>
  </si>
  <si>
    <t>142TU5853</t>
  </si>
  <si>
    <t>VF7GBWJYB9N017007</t>
  </si>
  <si>
    <t>145TU4809</t>
  </si>
  <si>
    <t>VF7GBWJYBAN516950</t>
  </si>
  <si>
    <t>149TU4889</t>
  </si>
  <si>
    <t>VF7GBWJYBAN534284</t>
  </si>
  <si>
    <t>GBWJYB1</t>
  </si>
  <si>
    <t>149TU4888</t>
  </si>
  <si>
    <t>VF7GBWJYBAN534447</t>
  </si>
  <si>
    <t>164TU4626</t>
  </si>
  <si>
    <t xml:space="preserve">3S </t>
  </si>
  <si>
    <t>VF7GCWJYBCX508226</t>
  </si>
  <si>
    <t>165TU0523</t>
  </si>
  <si>
    <t xml:space="preserve">SKY INDUS </t>
  </si>
  <si>
    <t>VF3GCWJYBDX501410</t>
  </si>
  <si>
    <t>166TU6781</t>
  </si>
  <si>
    <t>VF7GCWJYBDX503385</t>
  </si>
  <si>
    <t>GCWJYB</t>
  </si>
  <si>
    <t>166TU6778</t>
  </si>
  <si>
    <t>VF7GCWJYBDX504137</t>
  </si>
  <si>
    <t>166TU6776</t>
  </si>
  <si>
    <t>VF7GCWJYBDX503958</t>
  </si>
  <si>
    <t>166TU6779</t>
  </si>
  <si>
    <t>VF7GCWJYBDX503772</t>
  </si>
  <si>
    <t>207TU1061</t>
  </si>
  <si>
    <t>VF77C9HKCJJ662201</t>
  </si>
  <si>
    <t>7C9HKC</t>
  </si>
  <si>
    <t>207TU1062</t>
  </si>
  <si>
    <t>VF77C9HKCJJ635025</t>
  </si>
  <si>
    <t>207TU1064</t>
  </si>
  <si>
    <t>VF77C9HKCJJ660590</t>
  </si>
  <si>
    <t>C3</t>
  </si>
  <si>
    <t>149TU7637</t>
  </si>
  <si>
    <t>VF7SCHFVBAW584557</t>
  </si>
  <si>
    <t>SCHFVBD</t>
  </si>
  <si>
    <t>150TU7648</t>
  </si>
  <si>
    <t>VF7SCHFVBBW501010</t>
  </si>
  <si>
    <t>151TU9671</t>
  </si>
  <si>
    <t>VF7SCHFVBBW538519</t>
  </si>
  <si>
    <t>151TU9672</t>
  </si>
  <si>
    <t>VF7SCHFVBBW538029</t>
  </si>
  <si>
    <t>153TU5824</t>
  </si>
  <si>
    <t>161TU0578</t>
  </si>
  <si>
    <t>VF7SCHFVBCW573919</t>
  </si>
  <si>
    <t>161TU0579</t>
  </si>
  <si>
    <t>VF7SCHFVBCW577075</t>
  </si>
  <si>
    <t>164TU4835</t>
  </si>
  <si>
    <t>VF7SCHFVBCW591530</t>
  </si>
  <si>
    <t>164TU4842</t>
  </si>
  <si>
    <t>VF7SCHFVBCW574889</t>
  </si>
  <si>
    <t>195TU5935</t>
  </si>
  <si>
    <t>VF7SXHMW0GT571542</t>
  </si>
  <si>
    <t>SXHMW0A0W</t>
  </si>
  <si>
    <t>195TU5937</t>
  </si>
  <si>
    <t>VF7SXHMW8GT577137</t>
  </si>
  <si>
    <t>207TU3016</t>
  </si>
  <si>
    <t>VF7SXHMW0JT563238</t>
  </si>
  <si>
    <t>C4</t>
  </si>
  <si>
    <t>168TU6411</t>
  </si>
  <si>
    <t>VF7NC8FP0DY583435</t>
  </si>
  <si>
    <t>NC8FP01</t>
  </si>
  <si>
    <t>168TU9652</t>
  </si>
  <si>
    <t>VF7NC8FP0DY585871</t>
  </si>
  <si>
    <t>171TU8679</t>
  </si>
  <si>
    <t>VF7NC8FP0EY503633</t>
  </si>
  <si>
    <t>C-ELYSEE</t>
  </si>
  <si>
    <t>177TU9089</t>
  </si>
  <si>
    <t>VF7DDHMV0EJ691578</t>
  </si>
  <si>
    <t>JUMPER</t>
  </si>
  <si>
    <t>127TU1540</t>
  </si>
  <si>
    <t>VF7YBAMFB11041217</t>
  </si>
  <si>
    <t xml:space="preserve">YBAMFBBX </t>
  </si>
  <si>
    <t>JUMPY</t>
  </si>
  <si>
    <t>177TU0968</t>
  </si>
  <si>
    <t xml:space="preserve">SKY RAY </t>
  </si>
  <si>
    <t>VF7XS9HHCEZ035402</t>
  </si>
  <si>
    <t>XS9HHC</t>
  </si>
  <si>
    <t>NEMO</t>
  </si>
  <si>
    <t>173TU6374</t>
  </si>
  <si>
    <t xml:space="preserve">SMART UP </t>
  </si>
  <si>
    <t>VF7AA8HSCE8504323</t>
  </si>
  <si>
    <t>179TU5398</t>
  </si>
  <si>
    <t xml:space="preserve">AFRICA SOLAR </t>
  </si>
  <si>
    <t>VF7AA8HSCF8626531</t>
  </si>
  <si>
    <t>AA8HSC</t>
  </si>
  <si>
    <t>179TU5400</t>
  </si>
  <si>
    <t>VF7AA8HSCF8626381</t>
  </si>
  <si>
    <t>179TU5679</t>
  </si>
  <si>
    <t>VF7AA8HSCE8533630</t>
  </si>
  <si>
    <t>179TU5670</t>
  </si>
  <si>
    <t>VF7AA8HSCE8534097</t>
  </si>
  <si>
    <t>197TU4475</t>
  </si>
  <si>
    <t>VF7AAFHZ0H8875572</t>
  </si>
  <si>
    <t>AAFHZ0</t>
  </si>
  <si>
    <t>197TU4446</t>
  </si>
  <si>
    <t>VF7AAFHZ0H8875607</t>
  </si>
  <si>
    <t>197TU4453</t>
  </si>
  <si>
    <t>VF7AAFHZ0G8767461</t>
  </si>
  <si>
    <t>197TU4454</t>
  </si>
  <si>
    <t>VF7AAFHZ0G8767471</t>
  </si>
  <si>
    <t>197TU4459</t>
  </si>
  <si>
    <t>VF7AAFHZ0G8767787</t>
  </si>
  <si>
    <t>197TU4465</t>
  </si>
  <si>
    <t>VF7AAFHZ0H8875341</t>
  </si>
  <si>
    <t>197TU4467</t>
  </si>
  <si>
    <t>VF7AAFHZ0H8879392</t>
  </si>
  <si>
    <t>197TU4470</t>
  </si>
  <si>
    <t>VF7AAFHZ0H8875397</t>
  </si>
  <si>
    <t>197TU4451</t>
  </si>
  <si>
    <t>VF7AAFHZ0G8766457</t>
  </si>
  <si>
    <t>197TU4449</t>
  </si>
  <si>
    <t>VF7AAFHZ0H8875581</t>
  </si>
  <si>
    <t>197TU4452</t>
  </si>
  <si>
    <t>VF7AAFHZ0G8767254</t>
  </si>
  <si>
    <t>197TU4457</t>
  </si>
  <si>
    <t>VF7AAFHZ0G8767754</t>
  </si>
  <si>
    <t>197TU4461</t>
  </si>
  <si>
    <t>VF7AAFHZ0H8875362</t>
  </si>
  <si>
    <t>197TU4463</t>
  </si>
  <si>
    <t>VF7AAFHZ0H8875387</t>
  </si>
  <si>
    <t>197TU4466</t>
  </si>
  <si>
    <t>VF7AAFHZ0G8767859</t>
  </si>
  <si>
    <t>197TU4472</t>
  </si>
  <si>
    <t>VF7AAFHZ0H8875538</t>
  </si>
  <si>
    <t>197TU4473</t>
  </si>
  <si>
    <t>VF7AAFHZ0H8875551</t>
  </si>
  <si>
    <t>197TU4450</t>
  </si>
  <si>
    <t>VF7AAFHZ0G8766415</t>
  </si>
  <si>
    <t>197TU4456</t>
  </si>
  <si>
    <t>179TU4475</t>
  </si>
  <si>
    <t xml:space="preserve">TT </t>
  </si>
  <si>
    <t>197TU4469</t>
  </si>
  <si>
    <t>VF7AAFHZ0G8767809</t>
  </si>
  <si>
    <t>DACIA</t>
  </si>
  <si>
    <t>DOKKER</t>
  </si>
  <si>
    <t>190TU7060</t>
  </si>
  <si>
    <t>UU18SDBW455390451</t>
  </si>
  <si>
    <t>8SDBW4</t>
  </si>
  <si>
    <t>190TU7063</t>
  </si>
  <si>
    <t>UU18SDBW455390453</t>
  </si>
  <si>
    <t>191TU5628</t>
  </si>
  <si>
    <t>UU18SDBW455390505</t>
  </si>
  <si>
    <t>191TU5629</t>
  </si>
  <si>
    <t>UU18SDBW455390574</t>
  </si>
  <si>
    <t>192TU6681</t>
  </si>
  <si>
    <t>UU18SDBW455390567</t>
  </si>
  <si>
    <t>193TU5661</t>
  </si>
  <si>
    <t>UU18SDBW456313147</t>
  </si>
  <si>
    <t>194TU8659</t>
  </si>
  <si>
    <t>UU18SDBW456604364</t>
  </si>
  <si>
    <t>194TU8660</t>
  </si>
  <si>
    <t>UU18SDBW456604365</t>
  </si>
  <si>
    <t>194TU8661</t>
  </si>
  <si>
    <t>UU18SDBW456604370</t>
  </si>
  <si>
    <t>194TU8663</t>
  </si>
  <si>
    <t>UU18SDBW456604413</t>
  </si>
  <si>
    <t>194TU8667</t>
  </si>
  <si>
    <t>UU18SDBW456604377</t>
  </si>
  <si>
    <t>194TU8670</t>
  </si>
  <si>
    <t>UU18SDBW456604402</t>
  </si>
  <si>
    <t>194TU8665</t>
  </si>
  <si>
    <t>UU18SDBW456604375</t>
  </si>
  <si>
    <t>194TU8668</t>
  </si>
  <si>
    <t>UU18SDBW456604379</t>
  </si>
  <si>
    <t>207TU5733</t>
  </si>
  <si>
    <t>UU18SDBW4KG349237</t>
  </si>
  <si>
    <t>207TU5734</t>
  </si>
  <si>
    <t>UU18SDBW4KG503138</t>
  </si>
  <si>
    <t>207TU5735</t>
  </si>
  <si>
    <t>UU18SDBW4KG503137</t>
  </si>
  <si>
    <t>208TU4136</t>
  </si>
  <si>
    <t>UU18SDBW4KG349234</t>
  </si>
  <si>
    <t>208TU4135</t>
  </si>
  <si>
    <t>UU18SDBW4KG349233</t>
  </si>
  <si>
    <t>210TU6062</t>
  </si>
  <si>
    <t>UU18SDBW4KG591561</t>
  </si>
  <si>
    <t>210TU6063</t>
  </si>
  <si>
    <t>UU18SDBW4KG591543</t>
  </si>
  <si>
    <t>213TU6015</t>
  </si>
  <si>
    <t>UU18SDBW4KG591540</t>
  </si>
  <si>
    <t>213TU6018</t>
  </si>
  <si>
    <t>UU18SDBW4KG591544</t>
  </si>
  <si>
    <t>223TU7074</t>
  </si>
  <si>
    <t>UU18SDBW4MG012978</t>
  </si>
  <si>
    <t>223TU7075</t>
  </si>
  <si>
    <t>UU18SDBW4MG012946</t>
  </si>
  <si>
    <t>223TU7077</t>
  </si>
  <si>
    <t>UU18SDBW4MG012952</t>
  </si>
  <si>
    <t>223TU7076</t>
  </si>
  <si>
    <t>UU18SDBW4MG012931</t>
  </si>
  <si>
    <t>223TU7078</t>
  </si>
  <si>
    <t>UU18SDBW4MG012986</t>
  </si>
  <si>
    <t>224TU5947</t>
  </si>
  <si>
    <t>UU18SDBW4MG012950</t>
  </si>
  <si>
    <t>224TU5948</t>
  </si>
  <si>
    <t>UU18SDBW4MG012925</t>
  </si>
  <si>
    <t>224TU5949</t>
  </si>
  <si>
    <t>UU18SDBW4MG012961</t>
  </si>
  <si>
    <t>224TU5950</t>
  </si>
  <si>
    <t>UU18SDBW4MG012935</t>
  </si>
  <si>
    <t>224TU5951</t>
  </si>
  <si>
    <t>UU18SDBW4MG012988</t>
  </si>
  <si>
    <t>LOGAN</t>
  </si>
  <si>
    <t>156TU7640</t>
  </si>
  <si>
    <t>UU1KSD20546668797</t>
  </si>
  <si>
    <t>KSD205</t>
  </si>
  <si>
    <t>209TU5245</t>
  </si>
  <si>
    <t>UU17SDAP4KA698629</t>
  </si>
  <si>
    <t>7SDAP4</t>
  </si>
  <si>
    <t>210TU6064</t>
  </si>
  <si>
    <t>UU17SDAP4KA635679</t>
  </si>
  <si>
    <t>213TU6013</t>
  </si>
  <si>
    <t>UU17SDAP4KA635688</t>
  </si>
  <si>
    <t>FIAT</t>
  </si>
  <si>
    <t>FIORINO</t>
  </si>
  <si>
    <t>227TU8588</t>
  </si>
  <si>
    <t>ZFA22500006W07245</t>
  </si>
  <si>
    <t>225BXB1A-FA1R</t>
  </si>
  <si>
    <t>227TU8589</t>
  </si>
  <si>
    <t>ZFA22500006W07356</t>
  </si>
  <si>
    <t>227TU8590</t>
  </si>
  <si>
    <t>ZFA22500006W07359</t>
  </si>
  <si>
    <t>227TU8591</t>
  </si>
  <si>
    <t>ZFA22500006W07365</t>
  </si>
  <si>
    <t>227TU8592</t>
  </si>
  <si>
    <t>ZFA22500006W07373</t>
  </si>
  <si>
    <t>227TU8593</t>
  </si>
  <si>
    <t>ZFA22500006W07466</t>
  </si>
  <si>
    <t>227TU8594</t>
  </si>
  <si>
    <t>ZFA22500006W07506</t>
  </si>
  <si>
    <t>231TU5597</t>
  </si>
  <si>
    <t>SPI</t>
  </si>
  <si>
    <t>ZFA22500006XD4734</t>
  </si>
  <si>
    <t>231TU5595</t>
  </si>
  <si>
    <t>ZFA22500006X22892</t>
  </si>
  <si>
    <t>231TU5596</t>
  </si>
  <si>
    <t>ZFA22500006X22884</t>
  </si>
  <si>
    <t>231TU5594</t>
  </si>
  <si>
    <t>ZFAZZ500006X17481</t>
  </si>
  <si>
    <t>239TU0808</t>
  </si>
  <si>
    <t>ZFA22500006Z75478</t>
  </si>
  <si>
    <t>239TU0809</t>
  </si>
  <si>
    <t>ZFA22500006Z75461</t>
  </si>
  <si>
    <t>PUNTO</t>
  </si>
  <si>
    <t>163TU5146</t>
  </si>
  <si>
    <t>ZFA19900001895816</t>
  </si>
  <si>
    <t>199BXA1A01E</t>
  </si>
  <si>
    <t>FORD</t>
  </si>
  <si>
    <t>ECOSPORT</t>
  </si>
  <si>
    <t>234TU7590</t>
  </si>
  <si>
    <t>WF01XXERK1NB73319</t>
  </si>
  <si>
    <t>JK8BB1</t>
  </si>
  <si>
    <t>FIESTA</t>
  </si>
  <si>
    <t>157TU4784</t>
  </si>
  <si>
    <t>WF0JXXWPJJCR36980</t>
  </si>
  <si>
    <t>190TU7172</t>
  </si>
  <si>
    <t>WF0DXXGAKDGR59306</t>
  </si>
  <si>
    <t>JA8HB</t>
  </si>
  <si>
    <t>190TU7149</t>
  </si>
  <si>
    <t>WF0DXXGAKDGR61205</t>
  </si>
  <si>
    <t>190TU7154</t>
  </si>
  <si>
    <t>WF0DXXGAKDGR59275</t>
  </si>
  <si>
    <t>190TU7169</t>
  </si>
  <si>
    <t>WF0DXXGAKDGR59292</t>
  </si>
  <si>
    <t>190TU7177</t>
  </si>
  <si>
    <t>WF0DXXGAKDGR59314</t>
  </si>
  <si>
    <t>190TU7131</t>
  </si>
  <si>
    <t>WF0DXXGAKDGA80774</t>
  </si>
  <si>
    <t>190TU7132</t>
  </si>
  <si>
    <t>WF0DXXGAKDGR62413</t>
  </si>
  <si>
    <t>190TU7133</t>
  </si>
  <si>
    <t>WF0DXXGAKDGA80781</t>
  </si>
  <si>
    <t>190TU7134</t>
  </si>
  <si>
    <t>WF0DXXGAKDGR60728</t>
  </si>
  <si>
    <t>190TU7137</t>
  </si>
  <si>
    <t>WF0DXXGAKDGA83068</t>
  </si>
  <si>
    <t>190TU7143</t>
  </si>
  <si>
    <t>WF0DXXGAKDGR61223</t>
  </si>
  <si>
    <t>196TU8509</t>
  </si>
  <si>
    <t>WF0DXXGAKDHU29642</t>
  </si>
  <si>
    <t>196TU8511</t>
  </si>
  <si>
    <t>WF0DXXGAKDHU29638</t>
  </si>
  <si>
    <t>196TU8512</t>
  </si>
  <si>
    <t>WF0DXXGAKDHU29609</t>
  </si>
  <si>
    <t>FOCUS</t>
  </si>
  <si>
    <t>161TU1123</t>
  </si>
  <si>
    <t>WF0KXXGCBKCK42916</t>
  </si>
  <si>
    <t>DYBFBK</t>
  </si>
  <si>
    <t>193TU3093</t>
  </si>
  <si>
    <t>WF05XXGCC5GL82800</t>
  </si>
  <si>
    <t>DYBDA5</t>
  </si>
  <si>
    <t>193TU6478</t>
  </si>
  <si>
    <t>WF05XXGCC5GL82686</t>
  </si>
  <si>
    <t>FUSION</t>
  </si>
  <si>
    <t>207TU5405</t>
  </si>
  <si>
    <t>WF0DXXWPCDJT62967</t>
  </si>
  <si>
    <t>BA7FA</t>
  </si>
  <si>
    <t>HAVAL</t>
  </si>
  <si>
    <t>H6</t>
  </si>
  <si>
    <t>227TU8458</t>
  </si>
  <si>
    <t>LGWEE4A57MK613906</t>
  </si>
  <si>
    <t>MSTMD2PFE2GQ5BL0</t>
  </si>
  <si>
    <t>HYUNDAI</t>
  </si>
  <si>
    <t>ACCENT</t>
  </si>
  <si>
    <t>170TU4179</t>
  </si>
  <si>
    <t>KMHCU41CBEU566706</t>
  </si>
  <si>
    <t>CU41CB</t>
  </si>
  <si>
    <t>177TU9424</t>
  </si>
  <si>
    <t>KMHCU41BAEU716639</t>
  </si>
  <si>
    <t>179TU5314</t>
  </si>
  <si>
    <t>KMHCU41BAEU779111</t>
  </si>
  <si>
    <t>CU41BA</t>
  </si>
  <si>
    <t>180TU0497</t>
  </si>
  <si>
    <t>KMHCU41BAEU779022</t>
  </si>
  <si>
    <t>CAMION</t>
  </si>
  <si>
    <t>203TU2467</t>
  </si>
  <si>
    <t>KMFDA18BPFC087804</t>
  </si>
  <si>
    <t>WGGBHLZECVT3</t>
  </si>
  <si>
    <t>CRETA</t>
  </si>
  <si>
    <t>206TU1041</t>
  </si>
  <si>
    <t>MALC381CAJM382480</t>
  </si>
  <si>
    <t>C381CA</t>
  </si>
  <si>
    <t>I10</t>
  </si>
  <si>
    <t>173TU4179</t>
  </si>
  <si>
    <t>MALA851CAFM092811</t>
  </si>
  <si>
    <t xml:space="preserve">A851CA </t>
  </si>
  <si>
    <t>173TU4180</t>
  </si>
  <si>
    <t>MALA851CAFM092814</t>
  </si>
  <si>
    <t>173TU4182</t>
  </si>
  <si>
    <t>MALA851CAFM092652</t>
  </si>
  <si>
    <t>173TU4181</t>
  </si>
  <si>
    <t>MALA851CAFM092655</t>
  </si>
  <si>
    <t>183TU7675</t>
  </si>
  <si>
    <t>MALA851CAFM226674</t>
  </si>
  <si>
    <t>184TU6774</t>
  </si>
  <si>
    <t>MALA851CAFM298457</t>
  </si>
  <si>
    <t>185TU1758</t>
  </si>
  <si>
    <t>185TU1760</t>
  </si>
  <si>
    <t>MALA851CAFM298097</t>
  </si>
  <si>
    <t>I20</t>
  </si>
  <si>
    <t>174TU0409</t>
  </si>
  <si>
    <t>MALBC51BAEM616062</t>
  </si>
  <si>
    <t>BC51BA</t>
  </si>
  <si>
    <t>174TU0411</t>
  </si>
  <si>
    <t>MALBC51BAEM616066</t>
  </si>
  <si>
    <t>176TU3569</t>
  </si>
  <si>
    <t>MALBC51BAEM616489</t>
  </si>
  <si>
    <t>176TU5348</t>
  </si>
  <si>
    <t>MALBC51BAEM616510</t>
  </si>
  <si>
    <t>182TU7972</t>
  </si>
  <si>
    <t>MALBC51BAFM702345</t>
  </si>
  <si>
    <t>184TU9573</t>
  </si>
  <si>
    <t>MALBC51BAGM706338</t>
  </si>
  <si>
    <t>179TU3569</t>
  </si>
  <si>
    <t xml:space="preserve">HYUNDAI </t>
  </si>
  <si>
    <t>KONA</t>
  </si>
  <si>
    <t xml:space="preserve">227TU8164  </t>
  </si>
  <si>
    <t>KMHK3813HNU845632</t>
  </si>
  <si>
    <t>K3813H</t>
  </si>
  <si>
    <t xml:space="preserve">TUCSON </t>
  </si>
  <si>
    <t xml:space="preserve">227TU3594  </t>
  </si>
  <si>
    <t xml:space="preserve">SADRI CHAKROUN </t>
  </si>
  <si>
    <t>TMAJB81BHNJ136422</t>
  </si>
  <si>
    <t>JB81BH</t>
  </si>
  <si>
    <t>ISUZU</t>
  </si>
  <si>
    <t>D-MAX</t>
  </si>
  <si>
    <t>175TU3032</t>
  </si>
  <si>
    <t>AXLTFR54H77125420</t>
  </si>
  <si>
    <t>227TU6835</t>
  </si>
  <si>
    <t>AXLTFR54JLG025007</t>
  </si>
  <si>
    <t>TFR54JDL</t>
  </si>
  <si>
    <t>227TU6834</t>
  </si>
  <si>
    <t>AXLTFR54JLG025006</t>
  </si>
  <si>
    <t>227TU6833</t>
  </si>
  <si>
    <t>AXLTFR54JLG025005</t>
  </si>
  <si>
    <t>227TU7889</t>
  </si>
  <si>
    <t>AXLTFR54JLG025280</t>
  </si>
  <si>
    <t>228TU0301</t>
  </si>
  <si>
    <t>AXLTFR54JLG025318</t>
  </si>
  <si>
    <t>234TU9837</t>
  </si>
  <si>
    <t>AXLTFR54JMGDZ3447</t>
  </si>
  <si>
    <t>NKR</t>
  </si>
  <si>
    <t>197TU7840</t>
  </si>
  <si>
    <t>JAANKR66L77103961</t>
  </si>
  <si>
    <t>NKR66LL3BXY</t>
  </si>
  <si>
    <t>KIA</t>
  </si>
  <si>
    <t>227TU9503</t>
  </si>
  <si>
    <t>SKY INDUS</t>
  </si>
  <si>
    <t>KNCSJX76AM7505908</t>
  </si>
  <si>
    <t>HDH46B857</t>
  </si>
  <si>
    <t>CERATO</t>
  </si>
  <si>
    <t>172TU8189</t>
  </si>
  <si>
    <t>KNAFZ411AE5117923</t>
  </si>
  <si>
    <t>A7S4D2617</t>
  </si>
  <si>
    <t>173TU3414</t>
  </si>
  <si>
    <t>KNAFZ511AE5151402</t>
  </si>
  <si>
    <t>A7S6D2617</t>
  </si>
  <si>
    <t>OPTIMA</t>
  </si>
  <si>
    <t>174TU0642</t>
  </si>
  <si>
    <t xml:space="preserve">3S SICAR </t>
  </si>
  <si>
    <t>KNAGN419BE5478740</t>
  </si>
  <si>
    <t>TFS42G61F</t>
  </si>
  <si>
    <t>PICANTO</t>
  </si>
  <si>
    <t>177TU4075</t>
  </si>
  <si>
    <t>KNABX512AFT916539</t>
  </si>
  <si>
    <t>RIO</t>
  </si>
  <si>
    <t>171TU2909</t>
  </si>
  <si>
    <t>KNDAN511AE6923413</t>
  </si>
  <si>
    <t>IHS6K3615</t>
  </si>
  <si>
    <t>177TU3624</t>
  </si>
  <si>
    <t>KNADN411AE6465411</t>
  </si>
  <si>
    <t>181TU1854</t>
  </si>
  <si>
    <t>KNADN511AF6534803</t>
  </si>
  <si>
    <t>183TU7838</t>
  </si>
  <si>
    <t>KNADN511G6582912</t>
  </si>
  <si>
    <t>187TU3193</t>
  </si>
  <si>
    <t>KNADN511AG6656471</t>
  </si>
  <si>
    <t>SPORTAGE</t>
  </si>
  <si>
    <t>213TU6026</t>
  </si>
  <si>
    <t>U5YPH814BKL698060</t>
  </si>
  <si>
    <t>214TU3653</t>
  </si>
  <si>
    <t>U5YPH814BLL840419</t>
  </si>
  <si>
    <t>F1W5D2A1F</t>
  </si>
  <si>
    <t>LAND ROVER</t>
  </si>
  <si>
    <t>DISCOVERY</t>
  </si>
  <si>
    <t>194TU7125</t>
  </si>
  <si>
    <t>SALCA2BN9HH637246</t>
  </si>
  <si>
    <t>CA2BNL</t>
  </si>
  <si>
    <t>MAZDA</t>
  </si>
  <si>
    <t>187TU1048</t>
  </si>
  <si>
    <t>MM7DL2SA6GW178322</t>
  </si>
  <si>
    <t>DL2SAM</t>
  </si>
  <si>
    <t>159TU6882</t>
  </si>
  <si>
    <t>JM7BL22Z9C1326150</t>
  </si>
  <si>
    <t>BL22Z</t>
  </si>
  <si>
    <t>180TU0427</t>
  </si>
  <si>
    <t>JM7BM32Z9F1162695</t>
  </si>
  <si>
    <t>BM32ZM</t>
  </si>
  <si>
    <t>191TU5489</t>
  </si>
  <si>
    <t>JM7BM34Z0G1332697</t>
  </si>
  <si>
    <t>BM34ZM</t>
  </si>
  <si>
    <t>196TU3006</t>
  </si>
  <si>
    <t>JM7GJ4S75H1234109</t>
  </si>
  <si>
    <t>GJ4S7M</t>
  </si>
  <si>
    <t xml:space="preserve">MERCEDES </t>
  </si>
  <si>
    <t xml:space="preserve">C 180 </t>
  </si>
  <si>
    <t xml:space="preserve">163TU5568 </t>
  </si>
  <si>
    <t>MG</t>
  </si>
  <si>
    <t>234TU7585</t>
  </si>
  <si>
    <t>LSJA36E6XPZ023639</t>
  </si>
  <si>
    <t>SAP311AA1PAJC5LDP</t>
  </si>
  <si>
    <t xml:space="preserve"> 246TU9797 </t>
  </si>
  <si>
    <t>LSJA36E37RZ168923</t>
  </si>
  <si>
    <t>247TU6608</t>
  </si>
  <si>
    <t>LSJA36E67RZ687996</t>
  </si>
  <si>
    <t>ZS</t>
  </si>
  <si>
    <t>243TU9513</t>
  </si>
  <si>
    <t>LSJW74U65RZ127247</t>
  </si>
  <si>
    <t>SZS111AB1PAJC5LEP</t>
  </si>
  <si>
    <t xml:space="preserve">  247TU9083   </t>
  </si>
  <si>
    <t>LSJW74U69RZ251358</t>
  </si>
  <si>
    <t>SZS111AB1PAJM5LEP</t>
  </si>
  <si>
    <t>249TU0012</t>
  </si>
  <si>
    <t>NISSAN</t>
  </si>
  <si>
    <t>MICRA</t>
  </si>
  <si>
    <t>166TU7881</t>
  </si>
  <si>
    <t>MDHFBUK13Z0510887</t>
  </si>
  <si>
    <t>FBUK13</t>
  </si>
  <si>
    <t>SUNNY</t>
  </si>
  <si>
    <t>171TU0200</t>
  </si>
  <si>
    <t>MDHBBAN17Z0709198</t>
  </si>
  <si>
    <t>BBAN17M</t>
  </si>
  <si>
    <t>PEUGEOT</t>
  </si>
  <si>
    <t>169TU6700</t>
  </si>
  <si>
    <t>VF3DDHMV0DJ793310</t>
  </si>
  <si>
    <t>DDHMV0</t>
  </si>
  <si>
    <t>171TU6448</t>
  </si>
  <si>
    <t>SMART UP</t>
  </si>
  <si>
    <t>VF3DDHMV0EJ530590</t>
  </si>
  <si>
    <t>152TU4384</t>
  </si>
  <si>
    <t>VF38D5FS8BL038875</t>
  </si>
  <si>
    <t>BOXER</t>
  </si>
  <si>
    <t>166TU2157</t>
  </si>
  <si>
    <t>VF3YCZMFC12400695</t>
  </si>
  <si>
    <t>YCZMFCBX</t>
  </si>
  <si>
    <t>PARTNER</t>
  </si>
  <si>
    <t>181TU9193</t>
  </si>
  <si>
    <t>VF37C9HKCFJ640147</t>
  </si>
  <si>
    <t>RENAULT</t>
  </si>
  <si>
    <t>CLIO3</t>
  </si>
  <si>
    <t>144TU7058</t>
  </si>
  <si>
    <t>VF1BR12SH42758321</t>
  </si>
  <si>
    <t>BK12SH</t>
  </si>
  <si>
    <t>KADJAR</t>
  </si>
  <si>
    <t>207TU4450</t>
  </si>
  <si>
    <t>VF1RFE000JE063184</t>
  </si>
  <si>
    <t>RFEHF2MR6AAB05000</t>
  </si>
  <si>
    <t>204TU5127</t>
  </si>
  <si>
    <t>VF1RFE006JE986124</t>
  </si>
  <si>
    <t>SYMBOL</t>
  </si>
  <si>
    <t>187TU2145</t>
  </si>
  <si>
    <t>VF14SRAP454590187</t>
  </si>
  <si>
    <t>4SRAP4</t>
  </si>
  <si>
    <t>187TU2149</t>
  </si>
  <si>
    <t>VF14SRAP454590198</t>
  </si>
  <si>
    <t>2SRAP4</t>
  </si>
  <si>
    <t>187TU2148</t>
  </si>
  <si>
    <t>VF14SRAP454590189</t>
  </si>
  <si>
    <t>210TU6090</t>
  </si>
  <si>
    <t>VF14SRLP4KT817570</t>
  </si>
  <si>
    <t>4SRLP4</t>
  </si>
  <si>
    <t>213TU5913</t>
  </si>
  <si>
    <t>VF14SRLP4KT817572</t>
  </si>
  <si>
    <t>210TU6087</t>
  </si>
  <si>
    <t>VF14SRLP4KT817560</t>
  </si>
  <si>
    <t>210TU6085</t>
  </si>
  <si>
    <t>TRUCKS</t>
  </si>
  <si>
    <t>215TU1968</t>
  </si>
  <si>
    <t xml:space="preserve">BIOPACK </t>
  </si>
  <si>
    <t>VF630A139JD002585</t>
  </si>
  <si>
    <t>30A1338BM</t>
  </si>
  <si>
    <t>SEAT</t>
  </si>
  <si>
    <t>IBIZA</t>
  </si>
  <si>
    <t>171TU0460</t>
  </si>
  <si>
    <t>VSSZZZ6JZER056765</t>
  </si>
  <si>
    <t>6J52C4</t>
  </si>
  <si>
    <t>171TU0459</t>
  </si>
  <si>
    <t>VSSZZZ6JZER056758</t>
  </si>
  <si>
    <t>171TU0464</t>
  </si>
  <si>
    <t>VSSZZZ6JZER057229</t>
  </si>
  <si>
    <t>171TU0461</t>
  </si>
  <si>
    <t>VSSZZZ6JZER056816</t>
  </si>
  <si>
    <t>171TU0462</t>
  </si>
  <si>
    <t>VSSZZZ6JZER050220</t>
  </si>
  <si>
    <t>171TU4700</t>
  </si>
  <si>
    <t>VSSZZZ6JZER092187</t>
  </si>
  <si>
    <t>171TU4702</t>
  </si>
  <si>
    <t>VSSZZZ6JZER091871</t>
  </si>
  <si>
    <t>171TU9308</t>
  </si>
  <si>
    <t xml:space="preserve">SPI </t>
  </si>
  <si>
    <t>171TU9319</t>
  </si>
  <si>
    <t>VSSZZZ6JZER097890</t>
  </si>
  <si>
    <t>172TU2420</t>
  </si>
  <si>
    <t>VSSZZZ6JZER099769</t>
  </si>
  <si>
    <t>183TU7733</t>
  </si>
  <si>
    <t>VSSZZZ6JZFR170569</t>
  </si>
  <si>
    <t>183TU7734</t>
  </si>
  <si>
    <t>VSSZZZ6JZFR170709</t>
  </si>
  <si>
    <t>LEON</t>
  </si>
  <si>
    <t>151TU4400</t>
  </si>
  <si>
    <t>VSSZZZ1PZBR023872</t>
  </si>
  <si>
    <t>1P12H1</t>
  </si>
  <si>
    <t>TOLEDO</t>
  </si>
  <si>
    <t>170TU3505</t>
  </si>
  <si>
    <t>VSSZZZNHZD1018394</t>
  </si>
  <si>
    <t>KG33K4</t>
  </si>
  <si>
    <t>170TU3507</t>
  </si>
  <si>
    <t>VSSZZZNHZD1013711</t>
  </si>
  <si>
    <t>SSANGYONG</t>
  </si>
  <si>
    <t>TIVOLI</t>
  </si>
  <si>
    <t>215TU0836</t>
  </si>
  <si>
    <t>KPT20B1VSJP255585</t>
  </si>
  <si>
    <t>XKBA2WD</t>
  </si>
  <si>
    <t>SUZUKI</t>
  </si>
  <si>
    <t>CIAZ</t>
  </si>
  <si>
    <t>232TU7659</t>
  </si>
  <si>
    <t>MA3AVC71S00464775</t>
  </si>
  <si>
    <t>AVC71S-BM</t>
  </si>
  <si>
    <t>242TU3680</t>
  </si>
  <si>
    <t>MA3AVC71S00497119</t>
  </si>
  <si>
    <t>242TU1656</t>
  </si>
  <si>
    <t>MA3AVC71S00497109</t>
  </si>
  <si>
    <t>242TU1655</t>
  </si>
  <si>
    <t xml:space="preserve">    	MA3AVC71S00497099</t>
  </si>
  <si>
    <t>243TU4707</t>
  </si>
  <si>
    <t>MA3AVC71S00492703</t>
  </si>
  <si>
    <t>TATA</t>
  </si>
  <si>
    <t>203TU7964</t>
  </si>
  <si>
    <t xml:space="preserve">OCEANE </t>
  </si>
  <si>
    <t>MAT464040HSL01124</t>
  </si>
  <si>
    <t>28948731L</t>
  </si>
  <si>
    <t>214TU5147</t>
  </si>
  <si>
    <t>AXM464040KSL02432</t>
  </si>
  <si>
    <t>TOYOTA</t>
  </si>
  <si>
    <t>CHR</t>
  </si>
  <si>
    <t>205TU0659</t>
  </si>
  <si>
    <t>RAV4</t>
  </si>
  <si>
    <t>222TU2320</t>
  </si>
  <si>
    <t>JTMY23FV60D517460</t>
  </si>
  <si>
    <t>AXAH52L-ANXGB</t>
  </si>
  <si>
    <t>YARIS</t>
  </si>
  <si>
    <t>201TU7904</t>
  </si>
  <si>
    <t>MR2B19F3X01032176</t>
  </si>
  <si>
    <t>201TU7903</t>
  </si>
  <si>
    <t>201TU7905</t>
  </si>
  <si>
    <t>MR2B19F3201025691</t>
  </si>
  <si>
    <t xml:space="preserve">VOKSWAGEN </t>
  </si>
  <si>
    <t>POLO 7</t>
  </si>
  <si>
    <t xml:space="preserve">147TU7490 </t>
  </si>
  <si>
    <t xml:space="preserve">VOLKSWAGEN </t>
  </si>
  <si>
    <t>GOLF</t>
  </si>
  <si>
    <t>140TU3402</t>
  </si>
  <si>
    <t>WVWZZZ1KZ9W459962</t>
  </si>
  <si>
    <t>5K13Q5</t>
  </si>
  <si>
    <t>144TU3675</t>
  </si>
  <si>
    <t>WVWZZZ1KZAW250341</t>
  </si>
  <si>
    <t>5K12E1</t>
  </si>
  <si>
    <t xml:space="preserve">144TU2620 </t>
  </si>
  <si>
    <t>WVWZZZ1KZAW276085</t>
  </si>
  <si>
    <t>VOLVO</t>
  </si>
  <si>
    <t>S60</t>
  </si>
  <si>
    <t xml:space="preserve">178TU9186 </t>
  </si>
  <si>
    <t xml:space="preserve">MARIEM SARA CHAKROUN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</si>
</sst>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E1E1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 applyBorder="1"/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2" borderId="0" xfId="0" applyFont="1" applyFill="1" applyBorder="1"/>
    <xf numFmtId="14" fontId="0" fillId="0" borderId="0" xfId="0" applyNumberFormat="1" applyFill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Border="1"/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94C0-D363-418B-A86D-AC2D3E270C38}">
  <dimension ref="A1:I239"/>
  <sheetViews>
    <sheetView tabSelected="1" zoomScale="170" zoomScaleNormal="170" workbookViewId="0"/>
  </sheetViews>
  <sheetFormatPr defaultRowHeight="15" x14ac:dyDescent="0.25"/>
  <cols>
    <col min="1" max="1" width="15" style="27" bestFit="1" customWidth="1"/>
    <col min="2" max="2" width="11.85546875" style="27" bestFit="1" customWidth="1"/>
    <col min="3" max="3" width="18" style="7" bestFit="1" customWidth="1"/>
    <col min="4" max="4" width="18.28515625" style="27" customWidth="1"/>
    <col min="5" max="5" width="11.5703125" style="27" bestFit="1" customWidth="1"/>
    <col min="6" max="6" width="9.140625" style="27"/>
    <col min="7" max="7" width="25.85546875" style="27" customWidth="1"/>
    <col min="8" max="8" width="23.5703125" style="27" customWidth="1"/>
    <col min="9" max="9" width="20.140625" style="27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4">
        <v>43340</v>
      </c>
      <c r="E2" s="5">
        <f ca="1">+_xlfn.DAYS(TODAY(),D2)/365.25</f>
        <v>6.5242984257357977</v>
      </c>
      <c r="F2" s="6"/>
      <c r="G2" s="6" t="s">
        <v>12</v>
      </c>
      <c r="H2" s="7" t="s">
        <v>13</v>
      </c>
      <c r="I2" s="6" t="s">
        <v>14</v>
      </c>
    </row>
    <row r="3" spans="1:9" x14ac:dyDescent="0.25">
      <c r="A3" s="3" t="s">
        <v>15</v>
      </c>
      <c r="B3" s="3" t="s">
        <v>16</v>
      </c>
      <c r="C3" s="3" t="s">
        <v>17</v>
      </c>
      <c r="D3" s="4">
        <v>40203</v>
      </c>
      <c r="E3" s="5">
        <f ca="1">+_xlfn.DAYS(TODAY(),D3)/365.25</f>
        <v>15.112936344969199</v>
      </c>
      <c r="F3" s="6"/>
      <c r="G3" s="6" t="s">
        <v>12</v>
      </c>
      <c r="H3" s="8" t="s">
        <v>18</v>
      </c>
      <c r="I3" s="9"/>
    </row>
    <row r="4" spans="1:9" x14ac:dyDescent="0.25">
      <c r="A4" s="3" t="s">
        <v>15</v>
      </c>
      <c r="B4" s="3" t="s">
        <v>16</v>
      </c>
      <c r="C4" s="3" t="s">
        <v>19</v>
      </c>
      <c r="D4" s="4">
        <v>40337</v>
      </c>
      <c r="E4" s="5">
        <f ca="1">+_xlfn.DAYS(TODAY(),D4)/365.25</f>
        <v>14.746064339493497</v>
      </c>
      <c r="F4" s="6"/>
      <c r="G4" s="6" t="s">
        <v>12</v>
      </c>
      <c r="H4" s="8" t="s">
        <v>20</v>
      </c>
      <c r="I4" s="9"/>
    </row>
    <row r="5" spans="1:9" x14ac:dyDescent="0.25">
      <c r="A5" s="3" t="s">
        <v>15</v>
      </c>
      <c r="B5" s="3" t="s">
        <v>16</v>
      </c>
      <c r="C5" s="3" t="s">
        <v>21</v>
      </c>
      <c r="D5" s="4">
        <v>40527</v>
      </c>
      <c r="E5" s="5">
        <f ca="1">+_xlfn.DAYS(TODAY(),D5)/365.25</f>
        <v>14.225872689938399</v>
      </c>
      <c r="F5" s="6"/>
      <c r="G5" s="6" t="s">
        <v>12</v>
      </c>
      <c r="H5" s="8" t="s">
        <v>22</v>
      </c>
      <c r="I5" s="6" t="s">
        <v>23</v>
      </c>
    </row>
    <row r="6" spans="1:9" x14ac:dyDescent="0.25">
      <c r="A6" s="3" t="s">
        <v>15</v>
      </c>
      <c r="B6" s="3" t="s">
        <v>16</v>
      </c>
      <c r="C6" s="3" t="s">
        <v>24</v>
      </c>
      <c r="D6" s="4">
        <v>40527</v>
      </c>
      <c r="E6" s="5">
        <f ca="1">+_xlfn.DAYS(TODAY(),D6)/365.25</f>
        <v>14.225872689938399</v>
      </c>
      <c r="F6" s="6"/>
      <c r="G6" s="6" t="s">
        <v>12</v>
      </c>
      <c r="H6" s="8" t="s">
        <v>25</v>
      </c>
      <c r="I6" s="6" t="s">
        <v>23</v>
      </c>
    </row>
    <row r="7" spans="1:9" x14ac:dyDescent="0.25">
      <c r="A7" s="3" t="s">
        <v>15</v>
      </c>
      <c r="B7" s="3" t="s">
        <v>16</v>
      </c>
      <c r="C7" s="3" t="s">
        <v>26</v>
      </c>
      <c r="D7" s="4">
        <v>41346</v>
      </c>
      <c r="E7" s="5">
        <f ca="1">+_xlfn.DAYS(TODAY(),D7)/365.25</f>
        <v>11.983572895277208</v>
      </c>
      <c r="F7" s="6"/>
      <c r="G7" s="6" t="s">
        <v>27</v>
      </c>
      <c r="H7" s="8" t="s">
        <v>28</v>
      </c>
      <c r="I7" s="9"/>
    </row>
    <row r="8" spans="1:9" x14ac:dyDescent="0.25">
      <c r="A8" s="3" t="s">
        <v>15</v>
      </c>
      <c r="B8" s="3" t="s">
        <v>16</v>
      </c>
      <c r="C8" s="3" t="s">
        <v>29</v>
      </c>
      <c r="D8" s="4">
        <v>41376</v>
      </c>
      <c r="E8" s="5">
        <f ca="1">+_xlfn.DAYS(TODAY(),D8)/365.25</f>
        <v>11.901437371663244</v>
      </c>
      <c r="F8" s="6"/>
      <c r="G8" s="6" t="s">
        <v>30</v>
      </c>
      <c r="H8" s="8" t="s">
        <v>31</v>
      </c>
      <c r="I8" s="9"/>
    </row>
    <row r="9" spans="1:9" x14ac:dyDescent="0.25">
      <c r="A9" s="3" t="s">
        <v>15</v>
      </c>
      <c r="B9" s="3" t="s">
        <v>16</v>
      </c>
      <c r="C9" s="3" t="s">
        <v>32</v>
      </c>
      <c r="D9" s="4">
        <v>41444</v>
      </c>
      <c r="E9" s="5">
        <f ca="1">+_xlfn.DAYS(TODAY(),D9)/365.25</f>
        <v>11.715263518138261</v>
      </c>
      <c r="F9" s="6"/>
      <c r="G9" s="6" t="s">
        <v>12</v>
      </c>
      <c r="H9" s="8" t="s">
        <v>33</v>
      </c>
      <c r="I9" s="6" t="s">
        <v>34</v>
      </c>
    </row>
    <row r="10" spans="1:9" x14ac:dyDescent="0.25">
      <c r="A10" s="3" t="s">
        <v>15</v>
      </c>
      <c r="B10" s="3" t="s">
        <v>16</v>
      </c>
      <c r="C10" s="3" t="s">
        <v>35</v>
      </c>
      <c r="D10" s="4">
        <v>41444</v>
      </c>
      <c r="E10" s="5">
        <f ca="1">+_xlfn.DAYS(TODAY(),D10)/365.25</f>
        <v>11.715263518138261</v>
      </c>
      <c r="F10" s="6"/>
      <c r="G10" s="6" t="s">
        <v>12</v>
      </c>
      <c r="H10" s="8" t="s">
        <v>36</v>
      </c>
      <c r="I10" s="6" t="s">
        <v>34</v>
      </c>
    </row>
    <row r="11" spans="1:9" x14ac:dyDescent="0.25">
      <c r="A11" s="3" t="s">
        <v>15</v>
      </c>
      <c r="B11" s="3" t="s">
        <v>16</v>
      </c>
      <c r="C11" s="3" t="s">
        <v>37</v>
      </c>
      <c r="D11" s="4">
        <v>41444</v>
      </c>
      <c r="E11" s="5">
        <f ca="1">+_xlfn.DAYS(TODAY(),D11)/365.25</f>
        <v>11.715263518138261</v>
      </c>
      <c r="F11" s="6"/>
      <c r="G11" s="6" t="s">
        <v>27</v>
      </c>
      <c r="H11" s="8" t="s">
        <v>38</v>
      </c>
      <c r="I11" s="6" t="s">
        <v>34</v>
      </c>
    </row>
    <row r="12" spans="1:9" x14ac:dyDescent="0.25">
      <c r="A12" s="3" t="s">
        <v>15</v>
      </c>
      <c r="B12" s="3" t="s">
        <v>16</v>
      </c>
      <c r="C12" s="3" t="s">
        <v>39</v>
      </c>
      <c r="D12" s="4">
        <v>41444</v>
      </c>
      <c r="E12" s="5">
        <f ca="1">+_xlfn.DAYS(TODAY(),D12)/365.25</f>
        <v>11.715263518138261</v>
      </c>
      <c r="F12" s="6"/>
      <c r="G12" s="6" t="s">
        <v>27</v>
      </c>
      <c r="H12" s="8" t="s">
        <v>40</v>
      </c>
      <c r="I12" s="6" t="s">
        <v>34</v>
      </c>
    </row>
    <row r="13" spans="1:9" x14ac:dyDescent="0.25">
      <c r="A13" s="3" t="s">
        <v>15</v>
      </c>
      <c r="B13" s="3" t="s">
        <v>16</v>
      </c>
      <c r="C13" s="3" t="s">
        <v>41</v>
      </c>
      <c r="D13" s="4">
        <v>43362</v>
      </c>
      <c r="E13" s="5">
        <f ca="1">+_xlfn.DAYS(TODAY(),D13)/365.25</f>
        <v>6.4640657084188913</v>
      </c>
      <c r="F13" s="6"/>
      <c r="G13" s="6" t="s">
        <v>12</v>
      </c>
      <c r="H13" s="7" t="s">
        <v>42</v>
      </c>
      <c r="I13" s="6" t="s">
        <v>43</v>
      </c>
    </row>
    <row r="14" spans="1:9" x14ac:dyDescent="0.25">
      <c r="A14" s="3" t="s">
        <v>15</v>
      </c>
      <c r="B14" s="3" t="s">
        <v>16</v>
      </c>
      <c r="C14" s="3" t="s">
        <v>44</v>
      </c>
      <c r="D14" s="4">
        <v>43362</v>
      </c>
      <c r="E14" s="5">
        <f ca="1">+_xlfn.DAYS(TODAY(),D14)/365.25</f>
        <v>6.4640657084188913</v>
      </c>
      <c r="F14" s="6"/>
      <c r="G14" s="6" t="s">
        <v>12</v>
      </c>
      <c r="H14" s="7" t="s">
        <v>45</v>
      </c>
      <c r="I14" s="6" t="s">
        <v>43</v>
      </c>
    </row>
    <row r="15" spans="1:9" x14ac:dyDescent="0.25">
      <c r="A15" s="3" t="s">
        <v>15</v>
      </c>
      <c r="B15" s="3" t="s">
        <v>16</v>
      </c>
      <c r="C15" s="3" t="s">
        <v>46</v>
      </c>
      <c r="D15" s="4">
        <v>43362</v>
      </c>
      <c r="E15" s="5">
        <f ca="1">+_xlfn.DAYS(TODAY(),D15)/365.25</f>
        <v>6.4640657084188913</v>
      </c>
      <c r="F15" s="6"/>
      <c r="G15" s="6" t="s">
        <v>12</v>
      </c>
      <c r="H15" s="7" t="s">
        <v>47</v>
      </c>
      <c r="I15" s="6" t="s">
        <v>43</v>
      </c>
    </row>
    <row r="16" spans="1:9" x14ac:dyDescent="0.25">
      <c r="A16" s="3" t="s">
        <v>15</v>
      </c>
      <c r="B16" s="3" t="s">
        <v>48</v>
      </c>
      <c r="C16" s="3" t="s">
        <v>49</v>
      </c>
      <c r="D16" s="4">
        <v>40542</v>
      </c>
      <c r="E16" s="5">
        <f ca="1">+_xlfn.DAYS(TODAY(),D16)/365.25</f>
        <v>14.184804928131417</v>
      </c>
      <c r="F16" s="6"/>
      <c r="G16" s="6" t="s">
        <v>12</v>
      </c>
      <c r="H16" s="8" t="s">
        <v>50</v>
      </c>
      <c r="I16" s="6" t="s">
        <v>51</v>
      </c>
    </row>
    <row r="17" spans="1:9" x14ac:dyDescent="0.25">
      <c r="A17" s="3" t="s">
        <v>15</v>
      </c>
      <c r="B17" s="3" t="s">
        <v>48</v>
      </c>
      <c r="C17" s="3" t="s">
        <v>52</v>
      </c>
      <c r="D17" s="4">
        <v>40637</v>
      </c>
      <c r="E17" s="5">
        <f ca="1">+_xlfn.DAYS(TODAY(),D17)/365.25</f>
        <v>13.924709103353868</v>
      </c>
      <c r="F17" s="6"/>
      <c r="G17" s="6" t="s">
        <v>12</v>
      </c>
      <c r="H17" s="8" t="s">
        <v>53</v>
      </c>
      <c r="I17" s="6" t="s">
        <v>51</v>
      </c>
    </row>
    <row r="18" spans="1:9" x14ac:dyDescent="0.25">
      <c r="A18" s="3" t="s">
        <v>15</v>
      </c>
      <c r="B18" s="3" t="s">
        <v>48</v>
      </c>
      <c r="C18" s="3" t="s">
        <v>54</v>
      </c>
      <c r="D18" s="4">
        <v>40702</v>
      </c>
      <c r="E18" s="5">
        <f ca="1">+_xlfn.DAYS(TODAY(),D18)/365.25</f>
        <v>13.746748802190281</v>
      </c>
      <c r="F18" s="6"/>
      <c r="G18" s="6" t="s">
        <v>12</v>
      </c>
      <c r="H18" s="8" t="s">
        <v>55</v>
      </c>
      <c r="I18" s="6" t="s">
        <v>51</v>
      </c>
    </row>
    <row r="19" spans="1:9" x14ac:dyDescent="0.25">
      <c r="A19" s="3" t="s">
        <v>15</v>
      </c>
      <c r="B19" s="3" t="s">
        <v>48</v>
      </c>
      <c r="C19" s="3" t="s">
        <v>56</v>
      </c>
      <c r="D19" s="4">
        <v>40702</v>
      </c>
      <c r="E19" s="5">
        <f ca="1">+_xlfn.DAYS(TODAY(),D19)/365.25</f>
        <v>13.746748802190281</v>
      </c>
      <c r="F19" s="6"/>
      <c r="G19" s="6" t="s">
        <v>27</v>
      </c>
      <c r="H19" s="8" t="s">
        <v>57</v>
      </c>
      <c r="I19" s="6" t="s">
        <v>51</v>
      </c>
    </row>
    <row r="20" spans="1:9" x14ac:dyDescent="0.25">
      <c r="A20" s="3" t="s">
        <v>15</v>
      </c>
      <c r="B20" s="3" t="s">
        <v>48</v>
      </c>
      <c r="C20" s="3" t="s">
        <v>58</v>
      </c>
      <c r="D20" s="4">
        <v>40792</v>
      </c>
      <c r="E20" s="5">
        <f ca="1">+_xlfn.DAYS(TODAY(),D20)/365.25</f>
        <v>13.500342231348391</v>
      </c>
      <c r="F20" s="6"/>
      <c r="G20" s="6" t="s">
        <v>12</v>
      </c>
      <c r="H20" s="9"/>
      <c r="I20" s="9"/>
    </row>
    <row r="21" spans="1:9" x14ac:dyDescent="0.25">
      <c r="A21" s="3" t="s">
        <v>15</v>
      </c>
      <c r="B21" s="3" t="s">
        <v>48</v>
      </c>
      <c r="C21" s="3" t="s">
        <v>59</v>
      </c>
      <c r="D21" s="4">
        <v>41150</v>
      </c>
      <c r="E21" s="5">
        <f ca="1">+_xlfn.DAYS(TODAY(),D21)/365.25</f>
        <v>12.5201916495551</v>
      </c>
      <c r="F21" s="6"/>
      <c r="G21" s="6" t="s">
        <v>12</v>
      </c>
      <c r="H21" s="8" t="s">
        <v>60</v>
      </c>
      <c r="I21" s="6" t="s">
        <v>51</v>
      </c>
    </row>
    <row r="22" spans="1:9" x14ac:dyDescent="0.25">
      <c r="A22" s="3" t="s">
        <v>15</v>
      </c>
      <c r="B22" s="3" t="s">
        <v>48</v>
      </c>
      <c r="C22" s="3" t="s">
        <v>61</v>
      </c>
      <c r="D22" s="4">
        <v>41150</v>
      </c>
      <c r="E22" s="5">
        <f ca="1">+_xlfn.DAYS(TODAY(),D22)/365.25</f>
        <v>12.5201916495551</v>
      </c>
      <c r="F22" s="6"/>
      <c r="G22" s="6" t="s">
        <v>12</v>
      </c>
      <c r="H22" s="8" t="s">
        <v>62</v>
      </c>
      <c r="I22" s="6" t="s">
        <v>51</v>
      </c>
    </row>
    <row r="23" spans="1:9" x14ac:dyDescent="0.25">
      <c r="A23" s="3" t="s">
        <v>15</v>
      </c>
      <c r="B23" s="3" t="s">
        <v>48</v>
      </c>
      <c r="C23" s="3" t="s">
        <v>63</v>
      </c>
      <c r="D23" s="4">
        <v>41311</v>
      </c>
      <c r="E23" s="5">
        <f ca="1">+_xlfn.DAYS(TODAY(),D23)/365.25</f>
        <v>12.079397672826831</v>
      </c>
      <c r="F23" s="6"/>
      <c r="G23" s="6" t="s">
        <v>27</v>
      </c>
      <c r="H23" s="8" t="s">
        <v>64</v>
      </c>
      <c r="I23" s="9"/>
    </row>
    <row r="24" spans="1:9" x14ac:dyDescent="0.25">
      <c r="A24" s="3" t="s">
        <v>15</v>
      </c>
      <c r="B24" s="3" t="s">
        <v>48</v>
      </c>
      <c r="C24" s="3" t="s">
        <v>65</v>
      </c>
      <c r="D24" s="4">
        <v>41341</v>
      </c>
      <c r="E24" s="5">
        <f ca="1">+_xlfn.DAYS(TODAY(),D24)/365.25</f>
        <v>11.997262149212867</v>
      </c>
      <c r="F24" s="6"/>
      <c r="G24" s="6" t="s">
        <v>12</v>
      </c>
      <c r="H24" s="8" t="s">
        <v>66</v>
      </c>
      <c r="I24" s="6" t="s">
        <v>51</v>
      </c>
    </row>
    <row r="25" spans="1:9" x14ac:dyDescent="0.25">
      <c r="A25" s="3" t="s">
        <v>15</v>
      </c>
      <c r="B25" s="3" t="s">
        <v>48</v>
      </c>
      <c r="C25" s="3" t="s">
        <v>67</v>
      </c>
      <c r="D25" s="4">
        <v>42790</v>
      </c>
      <c r="E25" s="5">
        <f ca="1">+_xlfn.DAYS(TODAY(),D25)/365.25</f>
        <v>8.0301163586584536</v>
      </c>
      <c r="F25" s="6"/>
      <c r="G25" s="6" t="s">
        <v>12</v>
      </c>
      <c r="H25" s="8" t="s">
        <v>68</v>
      </c>
      <c r="I25" s="6" t="s">
        <v>69</v>
      </c>
    </row>
    <row r="26" spans="1:9" x14ac:dyDescent="0.25">
      <c r="A26" s="3" t="s">
        <v>15</v>
      </c>
      <c r="B26" s="3" t="s">
        <v>48</v>
      </c>
      <c r="C26" s="3" t="s">
        <v>70</v>
      </c>
      <c r="D26" s="4">
        <v>42790</v>
      </c>
      <c r="E26" s="5">
        <f ca="1">+_xlfn.DAYS(TODAY(),D26)/365.25</f>
        <v>8.0301163586584536</v>
      </c>
      <c r="F26" s="6"/>
      <c r="G26" s="6" t="s">
        <v>12</v>
      </c>
      <c r="H26" s="7" t="s">
        <v>71</v>
      </c>
      <c r="I26" s="6" t="s">
        <v>69</v>
      </c>
    </row>
    <row r="27" spans="1:9" x14ac:dyDescent="0.25">
      <c r="A27" s="3" t="s">
        <v>15</v>
      </c>
      <c r="B27" s="3" t="s">
        <v>48</v>
      </c>
      <c r="C27" s="3" t="s">
        <v>72</v>
      </c>
      <c r="D27" s="4">
        <v>43371</v>
      </c>
      <c r="E27" s="5">
        <f ca="1">+_xlfn.DAYS(TODAY(),D27)/365.25</f>
        <v>6.4394250513347027</v>
      </c>
      <c r="F27" s="6"/>
      <c r="G27" s="6" t="s">
        <v>12</v>
      </c>
      <c r="H27" s="7" t="s">
        <v>73</v>
      </c>
      <c r="I27" s="6" t="s">
        <v>69</v>
      </c>
    </row>
    <row r="28" spans="1:9" x14ac:dyDescent="0.25">
      <c r="A28" s="3" t="s">
        <v>15</v>
      </c>
      <c r="B28" s="3" t="s">
        <v>74</v>
      </c>
      <c r="C28" s="3" t="s">
        <v>75</v>
      </c>
      <c r="D28" s="4">
        <v>41541</v>
      </c>
      <c r="E28" s="5">
        <f ca="1">+_xlfn.DAYS(TODAY(),D28)/365.25</f>
        <v>11.449691991786448</v>
      </c>
      <c r="F28" s="6"/>
      <c r="G28" s="6" t="s">
        <v>27</v>
      </c>
      <c r="H28" s="8" t="s">
        <v>76</v>
      </c>
      <c r="I28" s="6" t="s">
        <v>77</v>
      </c>
    </row>
    <row r="29" spans="1:9" x14ac:dyDescent="0.25">
      <c r="A29" s="3" t="s">
        <v>15</v>
      </c>
      <c r="B29" s="3" t="s">
        <v>74</v>
      </c>
      <c r="C29" s="3" t="s">
        <v>78</v>
      </c>
      <c r="D29" s="4">
        <v>41555</v>
      </c>
      <c r="E29" s="5">
        <f ca="1">+_xlfn.DAYS(TODAY(),D29)/365.25</f>
        <v>11.411362080766597</v>
      </c>
      <c r="F29" s="6"/>
      <c r="G29" s="6" t="s">
        <v>27</v>
      </c>
      <c r="H29" s="8" t="s">
        <v>79</v>
      </c>
      <c r="I29" s="6" t="s">
        <v>77</v>
      </c>
    </row>
    <row r="30" spans="1:9" x14ac:dyDescent="0.25">
      <c r="A30" s="3" t="s">
        <v>15</v>
      </c>
      <c r="B30" s="3" t="s">
        <v>74</v>
      </c>
      <c r="C30" s="3" t="s">
        <v>80</v>
      </c>
      <c r="D30" s="4">
        <v>41723</v>
      </c>
      <c r="E30" s="5">
        <f ca="1">+_xlfn.DAYS(TODAY(),D30)/365.25</f>
        <v>10.951403148528405</v>
      </c>
      <c r="F30" s="6"/>
      <c r="G30" s="6" t="s">
        <v>12</v>
      </c>
      <c r="H30" s="8" t="s">
        <v>81</v>
      </c>
      <c r="I30" s="6" t="s">
        <v>77</v>
      </c>
    </row>
    <row r="31" spans="1:9" x14ac:dyDescent="0.25">
      <c r="A31" s="3" t="s">
        <v>15</v>
      </c>
      <c r="B31" s="3" t="s">
        <v>82</v>
      </c>
      <c r="C31" s="3" t="s">
        <v>83</v>
      </c>
      <c r="D31" s="4">
        <v>41978</v>
      </c>
      <c r="E31" s="5">
        <f ca="1">+_xlfn.DAYS(TODAY(),D31)/365.25</f>
        <v>10.253251197809719</v>
      </c>
      <c r="F31" s="6"/>
      <c r="G31" s="6" t="s">
        <v>27</v>
      </c>
      <c r="H31" s="8" t="s">
        <v>84</v>
      </c>
      <c r="I31" s="9"/>
    </row>
    <row r="32" spans="1:9" x14ac:dyDescent="0.25">
      <c r="A32" s="3" t="s">
        <v>15</v>
      </c>
      <c r="B32" s="3" t="s">
        <v>85</v>
      </c>
      <c r="C32" s="3" t="s">
        <v>86</v>
      </c>
      <c r="D32" s="4">
        <v>39202</v>
      </c>
      <c r="E32" s="5">
        <f ca="1">+_xlfn.DAYS(TODAY(),D32)/365.25</f>
        <v>17.853524982888434</v>
      </c>
      <c r="F32" s="6"/>
      <c r="G32" s="6" t="s">
        <v>12</v>
      </c>
      <c r="H32" s="8" t="s">
        <v>87</v>
      </c>
      <c r="I32" s="6" t="s">
        <v>88</v>
      </c>
    </row>
    <row r="33" spans="1:9" x14ac:dyDescent="0.25">
      <c r="A33" s="10" t="s">
        <v>15</v>
      </c>
      <c r="B33" s="10" t="s">
        <v>89</v>
      </c>
      <c r="C33" s="3" t="s">
        <v>90</v>
      </c>
      <c r="D33" s="11">
        <v>41933</v>
      </c>
      <c r="E33" s="5">
        <f ca="1">+_xlfn.DAYS(TODAY(),D33)/365.25</f>
        <v>10.376454483230663</v>
      </c>
      <c r="F33" s="6"/>
      <c r="G33" s="6" t="s">
        <v>91</v>
      </c>
      <c r="H33" s="8" t="s">
        <v>92</v>
      </c>
      <c r="I33" s="6" t="s">
        <v>93</v>
      </c>
    </row>
    <row r="34" spans="1:9" x14ac:dyDescent="0.25">
      <c r="A34" s="3" t="s">
        <v>15</v>
      </c>
      <c r="B34" s="3" t="s">
        <v>94</v>
      </c>
      <c r="C34" s="3" t="s">
        <v>95</v>
      </c>
      <c r="D34" s="4">
        <v>41789</v>
      </c>
      <c r="E34" s="5">
        <f ca="1">+_xlfn.DAYS(TODAY(),D34)/365.25</f>
        <v>10.770704996577686</v>
      </c>
      <c r="F34" s="6"/>
      <c r="G34" s="6" t="s">
        <v>96</v>
      </c>
      <c r="H34" s="8" t="s">
        <v>97</v>
      </c>
      <c r="I34" s="9"/>
    </row>
    <row r="35" spans="1:9" x14ac:dyDescent="0.25">
      <c r="A35" s="10" t="s">
        <v>15</v>
      </c>
      <c r="B35" s="10" t="s">
        <v>94</v>
      </c>
      <c r="C35" s="3" t="s">
        <v>98</v>
      </c>
      <c r="D35" s="11">
        <v>42060</v>
      </c>
      <c r="E35" s="5">
        <f ca="1">+_xlfn.DAYS(TODAY(),D35)/365.25</f>
        <v>10.028747433264886</v>
      </c>
      <c r="F35" s="6"/>
      <c r="G35" s="6" t="s">
        <v>99</v>
      </c>
      <c r="H35" s="8" t="s">
        <v>100</v>
      </c>
      <c r="I35" s="6" t="s">
        <v>101</v>
      </c>
    </row>
    <row r="36" spans="1:9" x14ac:dyDescent="0.25">
      <c r="A36" s="10" t="s">
        <v>15</v>
      </c>
      <c r="B36" s="10" t="s">
        <v>94</v>
      </c>
      <c r="C36" s="3" t="s">
        <v>102</v>
      </c>
      <c r="D36" s="11">
        <v>42060</v>
      </c>
      <c r="E36" s="5">
        <f ca="1">+_xlfn.DAYS(TODAY(),D36)/365.25</f>
        <v>10.028747433264886</v>
      </c>
      <c r="F36" s="6"/>
      <c r="G36" s="6" t="s">
        <v>99</v>
      </c>
      <c r="H36" s="8" t="s">
        <v>103</v>
      </c>
      <c r="I36" s="6" t="s">
        <v>101</v>
      </c>
    </row>
    <row r="37" spans="1:9" x14ac:dyDescent="0.25">
      <c r="A37" s="3" t="s">
        <v>15</v>
      </c>
      <c r="B37" s="3" t="s">
        <v>94</v>
      </c>
      <c r="C37" s="3" t="s">
        <v>104</v>
      </c>
      <c r="D37" s="4">
        <v>42061</v>
      </c>
      <c r="E37" s="5">
        <f ca="1">+_xlfn.DAYS(TODAY(),D37)/365.25</f>
        <v>10.026009582477755</v>
      </c>
      <c r="F37" s="6"/>
      <c r="G37" s="6" t="s">
        <v>96</v>
      </c>
      <c r="H37" s="8" t="s">
        <v>105</v>
      </c>
      <c r="I37" s="6" t="s">
        <v>101</v>
      </c>
    </row>
    <row r="38" spans="1:9" x14ac:dyDescent="0.25">
      <c r="A38" s="3" t="s">
        <v>15</v>
      </c>
      <c r="B38" s="3" t="s">
        <v>94</v>
      </c>
      <c r="C38" s="3" t="s">
        <v>106</v>
      </c>
      <c r="D38" s="4">
        <v>42062</v>
      </c>
      <c r="E38" s="5">
        <f ca="1">+_xlfn.DAYS(TODAY(),D38)/365.25</f>
        <v>10.023271731690622</v>
      </c>
      <c r="F38" s="6"/>
      <c r="G38" s="6" t="s">
        <v>96</v>
      </c>
      <c r="H38" s="8" t="s">
        <v>107</v>
      </c>
      <c r="I38" s="6" t="s">
        <v>101</v>
      </c>
    </row>
    <row r="39" spans="1:9" x14ac:dyDescent="0.25">
      <c r="A39" s="3" t="s">
        <v>15</v>
      </c>
      <c r="B39" s="3" t="s">
        <v>94</v>
      </c>
      <c r="C39" s="3" t="s">
        <v>108</v>
      </c>
      <c r="D39" s="4">
        <v>42865</v>
      </c>
      <c r="E39" s="5">
        <f ca="1">+_xlfn.DAYS(TODAY(),D39)/365.25</f>
        <v>7.8247775496235459</v>
      </c>
      <c r="F39" s="6"/>
      <c r="G39" s="6" t="s">
        <v>12</v>
      </c>
      <c r="H39" s="7" t="s">
        <v>109</v>
      </c>
      <c r="I39" s="6" t="s">
        <v>110</v>
      </c>
    </row>
    <row r="40" spans="1:9" x14ac:dyDescent="0.25">
      <c r="A40" s="3" t="s">
        <v>15</v>
      </c>
      <c r="B40" s="3" t="s">
        <v>94</v>
      </c>
      <c r="C40" s="3" t="s">
        <v>111</v>
      </c>
      <c r="D40" s="4">
        <v>42865</v>
      </c>
      <c r="E40" s="5">
        <f ca="1">+_xlfn.DAYS(TODAY(),D40)/365.25</f>
        <v>7.8247775496235459</v>
      </c>
      <c r="F40" s="6"/>
      <c r="G40" s="6" t="s">
        <v>12</v>
      </c>
      <c r="H40" s="7" t="s">
        <v>112</v>
      </c>
      <c r="I40" s="6" t="s">
        <v>110</v>
      </c>
    </row>
    <row r="41" spans="1:9" x14ac:dyDescent="0.25">
      <c r="A41" s="3" t="s">
        <v>15</v>
      </c>
      <c r="B41" s="3" t="s">
        <v>94</v>
      </c>
      <c r="C41" s="3" t="s">
        <v>113</v>
      </c>
      <c r="D41" s="4">
        <v>42865</v>
      </c>
      <c r="E41" s="5">
        <f ca="1">+_xlfn.DAYS(TODAY(),D41)/365.25</f>
        <v>7.8247775496235459</v>
      </c>
      <c r="F41" s="6"/>
      <c r="G41" s="6" t="s">
        <v>12</v>
      </c>
      <c r="H41" s="7" t="s">
        <v>114</v>
      </c>
      <c r="I41" s="6" t="s">
        <v>110</v>
      </c>
    </row>
    <row r="42" spans="1:9" x14ac:dyDescent="0.25">
      <c r="A42" s="3" t="s">
        <v>15</v>
      </c>
      <c r="B42" s="3" t="s">
        <v>94</v>
      </c>
      <c r="C42" s="3" t="s">
        <v>115</v>
      </c>
      <c r="D42" s="4">
        <v>42865</v>
      </c>
      <c r="E42" s="5">
        <f ca="1">+_xlfn.DAYS(TODAY(),D42)/365.25</f>
        <v>7.8247775496235459</v>
      </c>
      <c r="F42" s="6"/>
      <c r="G42" s="6" t="s">
        <v>12</v>
      </c>
      <c r="H42" s="7" t="s">
        <v>116</v>
      </c>
      <c r="I42" s="9"/>
    </row>
    <row r="43" spans="1:9" x14ac:dyDescent="0.25">
      <c r="A43" s="3" t="s">
        <v>15</v>
      </c>
      <c r="B43" s="3" t="s">
        <v>94</v>
      </c>
      <c r="C43" s="3" t="s">
        <v>117</v>
      </c>
      <c r="D43" s="4">
        <v>42865</v>
      </c>
      <c r="E43" s="5">
        <f ca="1">+_xlfn.DAYS(TODAY(),D43)/365.25</f>
        <v>7.8247775496235459</v>
      </c>
      <c r="F43" s="6"/>
      <c r="G43" s="6" t="s">
        <v>12</v>
      </c>
      <c r="H43" s="7" t="s">
        <v>118</v>
      </c>
      <c r="I43" s="6" t="s">
        <v>110</v>
      </c>
    </row>
    <row r="44" spans="1:9" x14ac:dyDescent="0.25">
      <c r="A44" s="3" t="s">
        <v>15</v>
      </c>
      <c r="B44" s="3" t="s">
        <v>94</v>
      </c>
      <c r="C44" s="3" t="s">
        <v>119</v>
      </c>
      <c r="D44" s="4">
        <v>42865</v>
      </c>
      <c r="E44" s="5">
        <f ca="1">+_xlfn.DAYS(TODAY(),D44)/365.25</f>
        <v>7.8247775496235459</v>
      </c>
      <c r="F44" s="6"/>
      <c r="G44" s="6" t="s">
        <v>12</v>
      </c>
      <c r="H44" s="7" t="s">
        <v>120</v>
      </c>
      <c r="I44" s="6" t="s">
        <v>110</v>
      </c>
    </row>
    <row r="45" spans="1:9" x14ac:dyDescent="0.25">
      <c r="A45" s="3" t="s">
        <v>15</v>
      </c>
      <c r="B45" s="3" t="s">
        <v>94</v>
      </c>
      <c r="C45" s="3" t="s">
        <v>121</v>
      </c>
      <c r="D45" s="4">
        <v>42865</v>
      </c>
      <c r="E45" s="5">
        <f ca="1">+_xlfn.DAYS(TODAY(),D45)/365.25</f>
        <v>7.8247775496235459</v>
      </c>
      <c r="F45" s="6"/>
      <c r="G45" s="6" t="s">
        <v>12</v>
      </c>
      <c r="H45" s="7" t="s">
        <v>122</v>
      </c>
      <c r="I45" s="6" t="s">
        <v>110</v>
      </c>
    </row>
    <row r="46" spans="1:9" x14ac:dyDescent="0.25">
      <c r="A46" s="3" t="s">
        <v>15</v>
      </c>
      <c r="B46" s="3" t="s">
        <v>94</v>
      </c>
      <c r="C46" s="3" t="s">
        <v>123</v>
      </c>
      <c r="D46" s="4">
        <v>42865</v>
      </c>
      <c r="E46" s="5">
        <f ca="1">+_xlfn.DAYS(TODAY(),D46)/365.25</f>
        <v>7.8247775496235459</v>
      </c>
      <c r="F46" s="6"/>
      <c r="G46" s="6" t="s">
        <v>12</v>
      </c>
      <c r="H46" s="7" t="s">
        <v>124</v>
      </c>
      <c r="I46" s="6" t="s">
        <v>110</v>
      </c>
    </row>
    <row r="47" spans="1:9" x14ac:dyDescent="0.25">
      <c r="A47" s="3" t="s">
        <v>15</v>
      </c>
      <c r="B47" s="3" t="s">
        <v>94</v>
      </c>
      <c r="C47" s="3" t="s">
        <v>125</v>
      </c>
      <c r="D47" s="4">
        <v>42865</v>
      </c>
      <c r="E47" s="5">
        <f ca="1">+_xlfn.DAYS(TODAY(),D47)/365.25</f>
        <v>7.8247775496235459</v>
      </c>
      <c r="F47" s="6"/>
      <c r="G47" s="6" t="s">
        <v>12</v>
      </c>
      <c r="H47" s="7" t="s">
        <v>126</v>
      </c>
      <c r="I47" s="6" t="s">
        <v>110</v>
      </c>
    </row>
    <row r="48" spans="1:9" x14ac:dyDescent="0.25">
      <c r="A48" s="3" t="s">
        <v>15</v>
      </c>
      <c r="B48" s="3" t="s">
        <v>94</v>
      </c>
      <c r="C48" s="3" t="s">
        <v>127</v>
      </c>
      <c r="D48" s="4">
        <v>42865</v>
      </c>
      <c r="E48" s="5">
        <f ca="1">+_xlfn.DAYS(TODAY(),D48)/365.25</f>
        <v>7.8247775496235459</v>
      </c>
      <c r="F48" s="6"/>
      <c r="G48" s="6" t="s">
        <v>12</v>
      </c>
      <c r="H48" s="7" t="s">
        <v>128</v>
      </c>
      <c r="I48" s="6" t="s">
        <v>110</v>
      </c>
    </row>
    <row r="49" spans="1:9" x14ac:dyDescent="0.25">
      <c r="A49" s="3" t="s">
        <v>15</v>
      </c>
      <c r="B49" s="3" t="s">
        <v>94</v>
      </c>
      <c r="C49" s="3" t="s">
        <v>129</v>
      </c>
      <c r="D49" s="4">
        <v>42865</v>
      </c>
      <c r="E49" s="5">
        <f ca="1">+_xlfn.DAYS(TODAY(),D49)/365.25</f>
        <v>7.8247775496235459</v>
      </c>
      <c r="F49" s="6"/>
      <c r="G49" s="6" t="s">
        <v>12</v>
      </c>
      <c r="H49" s="7" t="s">
        <v>130</v>
      </c>
      <c r="I49" s="6" t="s">
        <v>110</v>
      </c>
    </row>
    <row r="50" spans="1:9" x14ac:dyDescent="0.25">
      <c r="A50" s="3" t="s">
        <v>15</v>
      </c>
      <c r="B50" s="3" t="s">
        <v>94</v>
      </c>
      <c r="C50" s="3" t="s">
        <v>131</v>
      </c>
      <c r="D50" s="4">
        <v>42865</v>
      </c>
      <c r="E50" s="5">
        <f ca="1">+_xlfn.DAYS(TODAY(),D50)/365.25</f>
        <v>7.8247775496235459</v>
      </c>
      <c r="F50" s="6"/>
      <c r="G50" s="6" t="s">
        <v>12</v>
      </c>
      <c r="H50" s="12" t="s">
        <v>132</v>
      </c>
      <c r="I50" s="9"/>
    </row>
    <row r="51" spans="1:9" x14ac:dyDescent="0.25">
      <c r="A51" s="3" t="s">
        <v>15</v>
      </c>
      <c r="B51" s="3" t="s">
        <v>94</v>
      </c>
      <c r="C51" s="3" t="s">
        <v>133</v>
      </c>
      <c r="D51" s="4">
        <v>42865</v>
      </c>
      <c r="E51" s="5">
        <f ca="1">+_xlfn.DAYS(TODAY(),D51)/365.25</f>
        <v>7.8247775496235459</v>
      </c>
      <c r="F51" s="6"/>
      <c r="G51" s="6" t="s">
        <v>30</v>
      </c>
      <c r="H51" s="7" t="s">
        <v>134</v>
      </c>
      <c r="I51" s="6" t="s">
        <v>110</v>
      </c>
    </row>
    <row r="52" spans="1:9" x14ac:dyDescent="0.25">
      <c r="A52" s="3" t="s">
        <v>15</v>
      </c>
      <c r="B52" s="3" t="s">
        <v>94</v>
      </c>
      <c r="C52" s="3" t="s">
        <v>135</v>
      </c>
      <c r="D52" s="4">
        <v>42865</v>
      </c>
      <c r="E52" s="5">
        <f ca="1">+_xlfn.DAYS(TODAY(),D52)/365.25</f>
        <v>7.8247775496235459</v>
      </c>
      <c r="F52" s="6"/>
      <c r="G52" s="6" t="s">
        <v>12</v>
      </c>
      <c r="H52" s="7" t="s">
        <v>136</v>
      </c>
      <c r="I52" s="6" t="s">
        <v>110</v>
      </c>
    </row>
    <row r="53" spans="1:9" x14ac:dyDescent="0.25">
      <c r="A53" s="3" t="s">
        <v>15</v>
      </c>
      <c r="B53" s="3" t="s">
        <v>94</v>
      </c>
      <c r="C53" s="3" t="s">
        <v>137</v>
      </c>
      <c r="D53" s="4">
        <v>42865</v>
      </c>
      <c r="E53" s="5">
        <f ca="1">+_xlfn.DAYS(TODAY(),D53)/365.25</f>
        <v>7.8247775496235459</v>
      </c>
      <c r="F53" s="6"/>
      <c r="G53" s="6" t="s">
        <v>12</v>
      </c>
      <c r="H53" s="7" t="s">
        <v>138</v>
      </c>
      <c r="I53" s="6" t="s">
        <v>110</v>
      </c>
    </row>
    <row r="54" spans="1:9" x14ac:dyDescent="0.25">
      <c r="A54" s="3" t="s">
        <v>15</v>
      </c>
      <c r="B54" s="3" t="s">
        <v>94</v>
      </c>
      <c r="C54" s="3" t="s">
        <v>139</v>
      </c>
      <c r="D54" s="4">
        <v>42865</v>
      </c>
      <c r="E54" s="5">
        <f ca="1">+_xlfn.DAYS(TODAY(),D54)/365.25</f>
        <v>7.8247775496235459</v>
      </c>
      <c r="F54" s="6"/>
      <c r="G54" s="6" t="s">
        <v>12</v>
      </c>
      <c r="H54" s="7" t="s">
        <v>140</v>
      </c>
      <c r="I54" s="6" t="s">
        <v>110</v>
      </c>
    </row>
    <row r="55" spans="1:9" x14ac:dyDescent="0.25">
      <c r="A55" s="3" t="s">
        <v>15</v>
      </c>
      <c r="B55" s="3" t="s">
        <v>94</v>
      </c>
      <c r="C55" s="3" t="s">
        <v>141</v>
      </c>
      <c r="D55" s="4">
        <v>42865</v>
      </c>
      <c r="E55" s="5">
        <f ca="1">+_xlfn.DAYS(TODAY(),D55)/365.25</f>
        <v>7.8247775496235459</v>
      </c>
      <c r="F55" s="6"/>
      <c r="G55" s="6" t="s">
        <v>12</v>
      </c>
      <c r="H55" s="7" t="s">
        <v>142</v>
      </c>
      <c r="I55" s="6" t="s">
        <v>110</v>
      </c>
    </row>
    <row r="56" spans="1:9" x14ac:dyDescent="0.25">
      <c r="A56" s="3" t="s">
        <v>15</v>
      </c>
      <c r="B56" s="3" t="s">
        <v>94</v>
      </c>
      <c r="C56" s="3" t="s">
        <v>143</v>
      </c>
      <c r="D56" s="4">
        <v>42865</v>
      </c>
      <c r="E56" s="5">
        <f ca="1">+_xlfn.DAYS(TODAY(),D56)/365.25</f>
        <v>7.8247775496235459</v>
      </c>
      <c r="F56" s="6"/>
      <c r="G56" s="6" t="s">
        <v>12</v>
      </c>
      <c r="H56" s="7" t="s">
        <v>144</v>
      </c>
      <c r="I56" s="9"/>
    </row>
    <row r="57" spans="1:9" x14ac:dyDescent="0.25">
      <c r="A57" s="3" t="s">
        <v>15</v>
      </c>
      <c r="B57" s="3" t="s">
        <v>94</v>
      </c>
      <c r="C57" s="3" t="s">
        <v>145</v>
      </c>
      <c r="D57" s="4">
        <v>42865</v>
      </c>
      <c r="E57" s="5">
        <f ca="1">+_xlfn.DAYS(TODAY(),D57)/365.25</f>
        <v>7.8247775496235459</v>
      </c>
      <c r="F57" s="6"/>
      <c r="G57" s="6" t="s">
        <v>12</v>
      </c>
      <c r="H57" s="7" t="s">
        <v>120</v>
      </c>
      <c r="I57" s="9"/>
    </row>
    <row r="58" spans="1:9" x14ac:dyDescent="0.25">
      <c r="A58" s="3" t="s">
        <v>15</v>
      </c>
      <c r="B58" s="3" t="s">
        <v>94</v>
      </c>
      <c r="C58" s="3" t="s">
        <v>146</v>
      </c>
      <c r="D58" s="4">
        <v>42865</v>
      </c>
      <c r="E58" s="5">
        <f ca="1">+_xlfn.DAYS(TODAY(),D58)/365.25</f>
        <v>7.8247775496235459</v>
      </c>
      <c r="F58" s="6"/>
      <c r="G58" s="6" t="s">
        <v>147</v>
      </c>
      <c r="H58" s="7" t="s">
        <v>109</v>
      </c>
      <c r="I58" s="6" t="s">
        <v>110</v>
      </c>
    </row>
    <row r="59" spans="1:9" x14ac:dyDescent="0.25">
      <c r="A59" s="3" t="s">
        <v>15</v>
      </c>
      <c r="B59" s="3" t="s">
        <v>94</v>
      </c>
      <c r="C59" s="3" t="s">
        <v>148</v>
      </c>
      <c r="D59" s="4">
        <v>42865</v>
      </c>
      <c r="E59" s="5">
        <f ca="1">+_xlfn.DAYS(TODAY(),D59)/365.25</f>
        <v>7.8247775496235459</v>
      </c>
      <c r="F59" s="6"/>
      <c r="G59" s="6" t="s">
        <v>12</v>
      </c>
      <c r="H59" s="7" t="s">
        <v>149</v>
      </c>
      <c r="I59" s="6" t="s">
        <v>110</v>
      </c>
    </row>
    <row r="60" spans="1:9" x14ac:dyDescent="0.25">
      <c r="A60" s="3" t="s">
        <v>150</v>
      </c>
      <c r="B60" s="3" t="s">
        <v>151</v>
      </c>
      <c r="C60" s="3" t="s">
        <v>152</v>
      </c>
      <c r="D60" s="4">
        <v>42565</v>
      </c>
      <c r="E60" s="5">
        <f ca="1">+_xlfn.DAYS(TODAY(),D60)/365.25</f>
        <v>8.6461327857631751</v>
      </c>
      <c r="F60" s="6"/>
      <c r="G60" s="6" t="s">
        <v>12</v>
      </c>
      <c r="H60" s="8" t="s">
        <v>153</v>
      </c>
      <c r="I60" s="6" t="s">
        <v>154</v>
      </c>
    </row>
    <row r="61" spans="1:9" x14ac:dyDescent="0.25">
      <c r="A61" s="3" t="s">
        <v>150</v>
      </c>
      <c r="B61" s="3" t="s">
        <v>151</v>
      </c>
      <c r="C61" s="3" t="s">
        <v>155</v>
      </c>
      <c r="D61" s="4">
        <v>42565</v>
      </c>
      <c r="E61" s="5">
        <f ca="1">+_xlfn.DAYS(TODAY(),D61)/365.25</f>
        <v>8.6461327857631751</v>
      </c>
      <c r="F61" s="6"/>
      <c r="G61" s="6" t="s">
        <v>12</v>
      </c>
      <c r="H61" s="8" t="s">
        <v>156</v>
      </c>
      <c r="I61" s="6" t="s">
        <v>154</v>
      </c>
    </row>
    <row r="62" spans="1:9" x14ac:dyDescent="0.25">
      <c r="A62" s="3" t="s">
        <v>150</v>
      </c>
      <c r="B62" s="3" t="s">
        <v>151</v>
      </c>
      <c r="C62" s="3" t="s">
        <v>157</v>
      </c>
      <c r="D62" s="4">
        <v>42606</v>
      </c>
      <c r="E62" s="5">
        <f ca="1">+_xlfn.DAYS(TODAY(),D62)/365.25</f>
        <v>8.5338809034907595</v>
      </c>
      <c r="F62" s="6"/>
      <c r="G62" s="6" t="s">
        <v>12</v>
      </c>
      <c r="H62" s="8" t="s">
        <v>158</v>
      </c>
      <c r="I62" s="6" t="s">
        <v>154</v>
      </c>
    </row>
    <row r="63" spans="1:9" x14ac:dyDescent="0.25">
      <c r="A63" s="3" t="s">
        <v>150</v>
      </c>
      <c r="B63" s="3" t="s">
        <v>151</v>
      </c>
      <c r="C63" s="3" t="s">
        <v>159</v>
      </c>
      <c r="D63" s="4">
        <v>42606</v>
      </c>
      <c r="E63" s="5">
        <f ca="1">+_xlfn.DAYS(TODAY(),D63)/365.25</f>
        <v>8.5338809034907595</v>
      </c>
      <c r="F63" s="6"/>
      <c r="G63" s="6" t="s">
        <v>12</v>
      </c>
      <c r="H63" s="8" t="s">
        <v>160</v>
      </c>
      <c r="I63" s="6" t="s">
        <v>154</v>
      </c>
    </row>
    <row r="64" spans="1:9" x14ac:dyDescent="0.25">
      <c r="A64" s="3" t="s">
        <v>150</v>
      </c>
      <c r="B64" s="3" t="s">
        <v>151</v>
      </c>
      <c r="C64" s="3" t="s">
        <v>161</v>
      </c>
      <c r="D64" s="4">
        <v>42654</v>
      </c>
      <c r="E64" s="5">
        <f ca="1">+_xlfn.DAYS(TODAY(),D64)/365.25</f>
        <v>8.4024640657084184</v>
      </c>
      <c r="F64" s="6"/>
      <c r="G64" s="6" t="s">
        <v>12</v>
      </c>
      <c r="H64" s="8" t="s">
        <v>162</v>
      </c>
      <c r="I64" s="6" t="s">
        <v>154</v>
      </c>
    </row>
    <row r="65" spans="1:9" x14ac:dyDescent="0.25">
      <c r="A65" s="3" t="s">
        <v>150</v>
      </c>
      <c r="B65" s="3" t="s">
        <v>151</v>
      </c>
      <c r="C65" s="3" t="s">
        <v>163</v>
      </c>
      <c r="D65" s="4">
        <v>42692</v>
      </c>
      <c r="E65" s="5">
        <f ca="1">+_xlfn.DAYS(TODAY(),D65)/365.25</f>
        <v>8.2984257357973998</v>
      </c>
      <c r="F65" s="6"/>
      <c r="G65" s="6" t="s">
        <v>91</v>
      </c>
      <c r="H65" s="8" t="s">
        <v>164</v>
      </c>
      <c r="I65" s="6" t="s">
        <v>154</v>
      </c>
    </row>
    <row r="66" spans="1:9" x14ac:dyDescent="0.25">
      <c r="A66" s="3" t="s">
        <v>150</v>
      </c>
      <c r="B66" s="3" t="s">
        <v>151</v>
      </c>
      <c r="C66" s="3" t="s">
        <v>165</v>
      </c>
      <c r="D66" s="4">
        <v>42753</v>
      </c>
      <c r="E66" s="5">
        <f ca="1">+_xlfn.DAYS(TODAY(),D66)/365.25</f>
        <v>8.131416837782341</v>
      </c>
      <c r="F66" s="6"/>
      <c r="G66" s="6" t="s">
        <v>30</v>
      </c>
      <c r="H66" s="8" t="s">
        <v>166</v>
      </c>
      <c r="I66" s="9"/>
    </row>
    <row r="67" spans="1:9" x14ac:dyDescent="0.25">
      <c r="A67" s="3" t="s">
        <v>150</v>
      </c>
      <c r="B67" s="3" t="s">
        <v>151</v>
      </c>
      <c r="C67" s="3" t="s">
        <v>167</v>
      </c>
      <c r="D67" s="4">
        <v>42753</v>
      </c>
      <c r="E67" s="5">
        <f ca="1">+_xlfn.DAYS(TODAY(),D67)/365.25</f>
        <v>8.131416837782341</v>
      </c>
      <c r="F67" s="6"/>
      <c r="G67" s="6" t="s">
        <v>30</v>
      </c>
      <c r="H67" s="8" t="s">
        <v>168</v>
      </c>
      <c r="I67" s="6" t="s">
        <v>154</v>
      </c>
    </row>
    <row r="68" spans="1:9" x14ac:dyDescent="0.25">
      <c r="A68" s="3" t="s">
        <v>150</v>
      </c>
      <c r="B68" s="3" t="s">
        <v>151</v>
      </c>
      <c r="C68" s="3" t="s">
        <v>169</v>
      </c>
      <c r="D68" s="4">
        <v>42753</v>
      </c>
      <c r="E68" s="5">
        <f ca="1">+_xlfn.DAYS(TODAY(),D68)/365.25</f>
        <v>8.131416837782341</v>
      </c>
      <c r="F68" s="6"/>
      <c r="G68" s="6" t="s">
        <v>30</v>
      </c>
      <c r="H68" s="8" t="s">
        <v>170</v>
      </c>
      <c r="I68" s="6" t="s">
        <v>154</v>
      </c>
    </row>
    <row r="69" spans="1:9" x14ac:dyDescent="0.25">
      <c r="A69" s="3" t="s">
        <v>150</v>
      </c>
      <c r="B69" s="3" t="s">
        <v>151</v>
      </c>
      <c r="C69" s="3" t="s">
        <v>171</v>
      </c>
      <c r="D69" s="4">
        <v>42753</v>
      </c>
      <c r="E69" s="5">
        <f ca="1">+_xlfn.DAYS(TODAY(),D69)/365.25</f>
        <v>8.131416837782341</v>
      </c>
      <c r="F69" s="6"/>
      <c r="G69" s="6" t="s">
        <v>30</v>
      </c>
      <c r="H69" s="8" t="s">
        <v>172</v>
      </c>
      <c r="I69" s="6" t="s">
        <v>154</v>
      </c>
    </row>
    <row r="70" spans="1:9" x14ac:dyDescent="0.25">
      <c r="A70" s="3" t="s">
        <v>150</v>
      </c>
      <c r="B70" s="3" t="s">
        <v>151</v>
      </c>
      <c r="C70" s="3" t="s">
        <v>173</v>
      </c>
      <c r="D70" s="4">
        <v>42753</v>
      </c>
      <c r="E70" s="5">
        <f ca="1">+_xlfn.DAYS(TODAY(),D70)/365.25</f>
        <v>8.131416837782341</v>
      </c>
      <c r="F70" s="6"/>
      <c r="G70" s="6" t="s">
        <v>12</v>
      </c>
      <c r="H70" s="8" t="s">
        <v>174</v>
      </c>
      <c r="I70" s="9"/>
    </row>
    <row r="71" spans="1:9" x14ac:dyDescent="0.25">
      <c r="A71" s="3" t="s">
        <v>150</v>
      </c>
      <c r="B71" s="3" t="s">
        <v>151</v>
      </c>
      <c r="C71" s="3" t="s">
        <v>175</v>
      </c>
      <c r="D71" s="4">
        <v>42753</v>
      </c>
      <c r="E71" s="5">
        <f ca="1">+_xlfn.DAYS(TODAY(),D71)/365.25</f>
        <v>8.131416837782341</v>
      </c>
      <c r="F71" s="6"/>
      <c r="G71" s="6" t="s">
        <v>12</v>
      </c>
      <c r="H71" s="8" t="s">
        <v>176</v>
      </c>
      <c r="I71" s="9"/>
    </row>
    <row r="72" spans="1:9" x14ac:dyDescent="0.25">
      <c r="A72" s="3" t="s">
        <v>150</v>
      </c>
      <c r="B72" s="3" t="s">
        <v>151</v>
      </c>
      <c r="C72" s="3" t="s">
        <v>177</v>
      </c>
      <c r="D72" s="4">
        <v>42753</v>
      </c>
      <c r="E72" s="5">
        <f ca="1">+_xlfn.DAYS(TODAY(),D72)/365.25</f>
        <v>8.131416837782341</v>
      </c>
      <c r="F72" s="6"/>
      <c r="G72" s="6" t="s">
        <v>12</v>
      </c>
      <c r="H72" s="8" t="s">
        <v>178</v>
      </c>
      <c r="I72" s="6" t="s">
        <v>154</v>
      </c>
    </row>
    <row r="73" spans="1:9" x14ac:dyDescent="0.25">
      <c r="A73" s="3" t="s">
        <v>150</v>
      </c>
      <c r="B73" s="3" t="s">
        <v>151</v>
      </c>
      <c r="C73" s="3" t="s">
        <v>179</v>
      </c>
      <c r="D73" s="4">
        <v>42753</v>
      </c>
      <c r="E73" s="5">
        <f ca="1">+_xlfn.DAYS(TODAY(),D73)/365.25</f>
        <v>8.131416837782341</v>
      </c>
      <c r="F73" s="6"/>
      <c r="G73" s="6" t="s">
        <v>12</v>
      </c>
      <c r="H73" s="8" t="s">
        <v>180</v>
      </c>
      <c r="I73" s="9"/>
    </row>
    <row r="74" spans="1:9" x14ac:dyDescent="0.25">
      <c r="A74" s="10" t="s">
        <v>150</v>
      </c>
      <c r="B74" s="10" t="s">
        <v>151</v>
      </c>
      <c r="C74" s="3" t="s">
        <v>181</v>
      </c>
      <c r="D74" s="11">
        <v>43390</v>
      </c>
      <c r="E74" s="5">
        <f ca="1">+_xlfn.DAYS(TODAY(),D74)/365.25</f>
        <v>6.3874058863791925</v>
      </c>
      <c r="F74" s="6"/>
      <c r="G74" s="6" t="s">
        <v>12</v>
      </c>
      <c r="H74" s="7" t="s">
        <v>182</v>
      </c>
      <c r="I74" s="6" t="s">
        <v>154</v>
      </c>
    </row>
    <row r="75" spans="1:9" x14ac:dyDescent="0.25">
      <c r="A75" s="10" t="s">
        <v>150</v>
      </c>
      <c r="B75" s="10" t="s">
        <v>151</v>
      </c>
      <c r="C75" s="3" t="s">
        <v>183</v>
      </c>
      <c r="D75" s="11">
        <v>43390</v>
      </c>
      <c r="E75" s="5">
        <f ca="1">+_xlfn.DAYS(TODAY(),D75)/365.25</f>
        <v>6.3874058863791925</v>
      </c>
      <c r="F75" s="6"/>
      <c r="G75" s="6" t="s">
        <v>99</v>
      </c>
      <c r="H75" s="7" t="s">
        <v>184</v>
      </c>
      <c r="I75" s="6" t="s">
        <v>154</v>
      </c>
    </row>
    <row r="76" spans="1:9" x14ac:dyDescent="0.25">
      <c r="A76" s="10" t="s">
        <v>150</v>
      </c>
      <c r="B76" s="10" t="s">
        <v>151</v>
      </c>
      <c r="C76" s="3" t="s">
        <v>185</v>
      </c>
      <c r="D76" s="11">
        <v>43390</v>
      </c>
      <c r="E76" s="5">
        <f ca="1">+_xlfn.DAYS(TODAY(),D76)/365.25</f>
        <v>6.3874058863791925</v>
      </c>
      <c r="F76" s="6"/>
      <c r="G76" s="6" t="s">
        <v>99</v>
      </c>
      <c r="H76" s="7" t="s">
        <v>186</v>
      </c>
      <c r="I76" s="6" t="s">
        <v>154</v>
      </c>
    </row>
    <row r="77" spans="1:9" x14ac:dyDescent="0.25">
      <c r="A77" s="3" t="s">
        <v>150</v>
      </c>
      <c r="B77" s="3" t="s">
        <v>151</v>
      </c>
      <c r="C77" s="3" t="s">
        <v>187</v>
      </c>
      <c r="D77" s="4">
        <v>43444</v>
      </c>
      <c r="E77" s="5">
        <f ca="1">+_xlfn.DAYS(TODAY(),D77)/365.25</f>
        <v>6.239561943874059</v>
      </c>
      <c r="F77" s="6"/>
      <c r="G77" s="6" t="s">
        <v>12</v>
      </c>
      <c r="H77" s="7" t="s">
        <v>188</v>
      </c>
      <c r="I77" s="6" t="s">
        <v>154</v>
      </c>
    </row>
    <row r="78" spans="1:9" x14ac:dyDescent="0.25">
      <c r="A78" s="3" t="s">
        <v>150</v>
      </c>
      <c r="B78" s="3" t="s">
        <v>151</v>
      </c>
      <c r="C78" s="3" t="s">
        <v>189</v>
      </c>
      <c r="D78" s="4">
        <v>43444</v>
      </c>
      <c r="E78" s="5">
        <f ca="1">+_xlfn.DAYS(TODAY(),D78)/365.25</f>
        <v>6.239561943874059</v>
      </c>
      <c r="F78" s="6"/>
      <c r="G78" s="6" t="s">
        <v>12</v>
      </c>
      <c r="H78" s="7" t="s">
        <v>190</v>
      </c>
      <c r="I78" s="6" t="s">
        <v>154</v>
      </c>
    </row>
    <row r="79" spans="1:9" x14ac:dyDescent="0.25">
      <c r="A79" s="3" t="s">
        <v>150</v>
      </c>
      <c r="B79" s="3" t="s">
        <v>151</v>
      </c>
      <c r="C79" s="3" t="s">
        <v>191</v>
      </c>
      <c r="D79" s="4">
        <v>43592</v>
      </c>
      <c r="E79" s="5">
        <f ca="1">+_xlfn.DAYS(TODAY(),D79)/365.25</f>
        <v>5.8343600273785077</v>
      </c>
      <c r="F79" s="6"/>
      <c r="G79" s="6" t="s">
        <v>12</v>
      </c>
      <c r="H79" s="7" t="s">
        <v>192</v>
      </c>
      <c r="I79" s="6" t="s">
        <v>154</v>
      </c>
    </row>
    <row r="80" spans="1:9" x14ac:dyDescent="0.25">
      <c r="A80" s="3" t="s">
        <v>150</v>
      </c>
      <c r="B80" s="3" t="s">
        <v>151</v>
      </c>
      <c r="C80" s="3" t="s">
        <v>193</v>
      </c>
      <c r="D80" s="4">
        <v>43592</v>
      </c>
      <c r="E80" s="5">
        <f ca="1">+_xlfn.DAYS(TODAY(),D80)/365.25</f>
        <v>5.8343600273785077</v>
      </c>
      <c r="F80" s="6"/>
      <c r="G80" s="6" t="s">
        <v>12</v>
      </c>
      <c r="H80" s="7" t="s">
        <v>194</v>
      </c>
      <c r="I80" s="6" t="s">
        <v>154</v>
      </c>
    </row>
    <row r="81" spans="1:9" x14ac:dyDescent="0.25">
      <c r="A81" s="3" t="s">
        <v>150</v>
      </c>
      <c r="B81" s="3" t="s">
        <v>151</v>
      </c>
      <c r="C81" s="3" t="s">
        <v>195</v>
      </c>
      <c r="D81" s="4">
        <v>43783</v>
      </c>
      <c r="E81" s="5">
        <f ca="1">+_xlfn.DAYS(TODAY(),D81)/365.25</f>
        <v>5.3114305270362765</v>
      </c>
      <c r="F81" s="6"/>
      <c r="G81" s="6" t="s">
        <v>12</v>
      </c>
      <c r="H81" s="7" t="s">
        <v>196</v>
      </c>
      <c r="I81" s="9"/>
    </row>
    <row r="82" spans="1:9" x14ac:dyDescent="0.25">
      <c r="A82" s="3" t="s">
        <v>150</v>
      </c>
      <c r="B82" s="3" t="s">
        <v>151</v>
      </c>
      <c r="C82" s="3" t="s">
        <v>197</v>
      </c>
      <c r="D82" s="4">
        <v>43783</v>
      </c>
      <c r="E82" s="5">
        <f ca="1">+_xlfn.DAYS(TODAY(),D82)/365.25</f>
        <v>5.3114305270362765</v>
      </c>
      <c r="F82" s="6"/>
      <c r="G82" s="6" t="s">
        <v>12</v>
      </c>
      <c r="H82" s="7" t="s">
        <v>198</v>
      </c>
      <c r="I82" s="6" t="s">
        <v>154</v>
      </c>
    </row>
    <row r="83" spans="1:9" x14ac:dyDescent="0.25">
      <c r="A83" s="3" t="s">
        <v>150</v>
      </c>
      <c r="B83" s="3" t="s">
        <v>151</v>
      </c>
      <c r="C83" s="3" t="s">
        <v>199</v>
      </c>
      <c r="D83" s="4">
        <v>44369</v>
      </c>
      <c r="E83" s="5">
        <f ca="1">+_xlfn.DAYS(TODAY(),D83)/365.25</f>
        <v>3.7070499657768652</v>
      </c>
      <c r="F83" s="6"/>
      <c r="G83" s="6" t="s">
        <v>12</v>
      </c>
      <c r="H83" s="7" t="s">
        <v>200</v>
      </c>
      <c r="I83" s="6" t="s">
        <v>154</v>
      </c>
    </row>
    <row r="84" spans="1:9" x14ac:dyDescent="0.25">
      <c r="A84" s="3" t="s">
        <v>150</v>
      </c>
      <c r="B84" s="3" t="s">
        <v>151</v>
      </c>
      <c r="C84" s="3" t="s">
        <v>201</v>
      </c>
      <c r="D84" s="4">
        <v>44369</v>
      </c>
      <c r="E84" s="5">
        <f ca="1">+_xlfn.DAYS(TODAY(),D84)/365.25</f>
        <v>3.7070499657768652</v>
      </c>
      <c r="F84" s="6"/>
      <c r="G84" s="6" t="s">
        <v>12</v>
      </c>
      <c r="H84" s="7" t="s">
        <v>202</v>
      </c>
      <c r="I84" s="6" t="s">
        <v>154</v>
      </c>
    </row>
    <row r="85" spans="1:9" x14ac:dyDescent="0.25">
      <c r="A85" s="3" t="s">
        <v>150</v>
      </c>
      <c r="B85" s="3" t="s">
        <v>151</v>
      </c>
      <c r="C85" s="3" t="s">
        <v>203</v>
      </c>
      <c r="D85" s="4">
        <v>44369</v>
      </c>
      <c r="E85" s="5">
        <f ca="1">+_xlfn.DAYS(TODAY(),D85)/365.25</f>
        <v>3.7070499657768652</v>
      </c>
      <c r="F85" s="6"/>
      <c r="G85" s="6" t="s">
        <v>12</v>
      </c>
      <c r="H85" s="7" t="s">
        <v>204</v>
      </c>
      <c r="I85" s="6" t="s">
        <v>154</v>
      </c>
    </row>
    <row r="86" spans="1:9" x14ac:dyDescent="0.25">
      <c r="A86" s="3" t="s">
        <v>150</v>
      </c>
      <c r="B86" s="3" t="s">
        <v>151</v>
      </c>
      <c r="C86" s="3" t="s">
        <v>205</v>
      </c>
      <c r="D86" s="4">
        <v>44369</v>
      </c>
      <c r="E86" s="5">
        <f ca="1">+_xlfn.DAYS(TODAY(),D86)/365.25</f>
        <v>3.7070499657768652</v>
      </c>
      <c r="F86" s="6"/>
      <c r="G86" s="6" t="s">
        <v>12</v>
      </c>
      <c r="H86" s="7" t="s">
        <v>206</v>
      </c>
      <c r="I86" s="6" t="s">
        <v>154</v>
      </c>
    </row>
    <row r="87" spans="1:9" x14ac:dyDescent="0.25">
      <c r="A87" s="3" t="s">
        <v>150</v>
      </c>
      <c r="B87" s="3" t="s">
        <v>151</v>
      </c>
      <c r="C87" s="3" t="s">
        <v>207</v>
      </c>
      <c r="D87" s="4">
        <v>44369</v>
      </c>
      <c r="E87" s="5">
        <f ca="1">+_xlfn.DAYS(TODAY(),D87)/365.25</f>
        <v>3.7070499657768652</v>
      </c>
      <c r="F87" s="6"/>
      <c r="G87" s="6" t="s">
        <v>12</v>
      </c>
      <c r="H87" s="7" t="s">
        <v>208</v>
      </c>
      <c r="I87" s="6" t="s">
        <v>154</v>
      </c>
    </row>
    <row r="88" spans="1:9" x14ac:dyDescent="0.25">
      <c r="A88" s="3" t="s">
        <v>150</v>
      </c>
      <c r="B88" s="3" t="s">
        <v>151</v>
      </c>
      <c r="C88" s="3" t="s">
        <v>209</v>
      </c>
      <c r="D88" s="4">
        <v>44413</v>
      </c>
      <c r="E88" s="5">
        <f ca="1">+_xlfn.DAYS(TODAY(),D88)/365.25</f>
        <v>3.5865845311430529</v>
      </c>
      <c r="F88" s="6"/>
      <c r="G88" s="6" t="s">
        <v>12</v>
      </c>
      <c r="H88" s="7" t="s">
        <v>210</v>
      </c>
      <c r="I88" s="9"/>
    </row>
    <row r="89" spans="1:9" x14ac:dyDescent="0.25">
      <c r="A89" s="3" t="s">
        <v>150</v>
      </c>
      <c r="B89" s="3" t="s">
        <v>151</v>
      </c>
      <c r="C89" s="3" t="s">
        <v>211</v>
      </c>
      <c r="D89" s="4">
        <v>44413</v>
      </c>
      <c r="E89" s="5">
        <f ca="1">+_xlfn.DAYS(TODAY(),D89)/365.25</f>
        <v>3.5865845311430529</v>
      </c>
      <c r="F89" s="6"/>
      <c r="G89" s="6" t="s">
        <v>12</v>
      </c>
      <c r="H89" s="7" t="s">
        <v>212</v>
      </c>
      <c r="I89" s="9"/>
    </row>
    <row r="90" spans="1:9" x14ac:dyDescent="0.25">
      <c r="A90" s="3" t="s">
        <v>150</v>
      </c>
      <c r="B90" s="3" t="s">
        <v>151</v>
      </c>
      <c r="C90" s="3" t="s">
        <v>213</v>
      </c>
      <c r="D90" s="4">
        <v>44413</v>
      </c>
      <c r="E90" s="5">
        <f ca="1">+_xlfn.DAYS(TODAY(),D90)/365.25</f>
        <v>3.5865845311430529</v>
      </c>
      <c r="F90" s="6"/>
      <c r="G90" s="6" t="s">
        <v>12</v>
      </c>
      <c r="H90" s="7" t="s">
        <v>214</v>
      </c>
      <c r="I90" s="9"/>
    </row>
    <row r="91" spans="1:9" x14ac:dyDescent="0.25">
      <c r="A91" s="3" t="s">
        <v>150</v>
      </c>
      <c r="B91" s="3" t="s">
        <v>151</v>
      </c>
      <c r="C91" s="3" t="s">
        <v>215</v>
      </c>
      <c r="D91" s="4">
        <v>44413</v>
      </c>
      <c r="E91" s="5">
        <f ca="1">+_xlfn.DAYS(TODAY(),D91)/365.25</f>
        <v>3.5865845311430529</v>
      </c>
      <c r="F91" s="6"/>
      <c r="G91" s="6" t="s">
        <v>12</v>
      </c>
      <c r="H91" s="12" t="s">
        <v>216</v>
      </c>
      <c r="I91" s="9"/>
    </row>
    <row r="92" spans="1:9" x14ac:dyDescent="0.25">
      <c r="A92" s="3" t="s">
        <v>150</v>
      </c>
      <c r="B92" s="3" t="s">
        <v>151</v>
      </c>
      <c r="C92" s="3" t="s">
        <v>217</v>
      </c>
      <c r="D92" s="4">
        <v>44413</v>
      </c>
      <c r="E92" s="5">
        <f ca="1">+_xlfn.DAYS(TODAY(),D92)/365.25</f>
        <v>3.5865845311430529</v>
      </c>
      <c r="F92" s="6"/>
      <c r="G92" s="6" t="s">
        <v>12</v>
      </c>
      <c r="H92" s="7" t="s">
        <v>218</v>
      </c>
      <c r="I92" s="6" t="s">
        <v>154</v>
      </c>
    </row>
    <row r="93" spans="1:9" x14ac:dyDescent="0.25">
      <c r="A93" s="3" t="s">
        <v>150</v>
      </c>
      <c r="B93" s="3" t="s">
        <v>219</v>
      </c>
      <c r="C93" s="3" t="s">
        <v>220</v>
      </c>
      <c r="D93" s="4">
        <v>40954</v>
      </c>
      <c r="E93" s="5">
        <f ca="1">+_xlfn.DAYS(TODAY(),D93)/365.25</f>
        <v>13.056810403832991</v>
      </c>
      <c r="F93" s="6"/>
      <c r="G93" s="6" t="s">
        <v>12</v>
      </c>
      <c r="H93" s="8" t="s">
        <v>221</v>
      </c>
      <c r="I93" s="6" t="s">
        <v>222</v>
      </c>
    </row>
    <row r="94" spans="1:9" x14ac:dyDescent="0.25">
      <c r="A94" s="10" t="s">
        <v>150</v>
      </c>
      <c r="B94" s="10" t="s">
        <v>219</v>
      </c>
      <c r="C94" s="3" t="s">
        <v>223</v>
      </c>
      <c r="D94" s="11">
        <v>43518</v>
      </c>
      <c r="E94" s="5">
        <f ca="1">+_xlfn.DAYS(TODAY(),D94)/365.25</f>
        <v>6.0369609856262834</v>
      </c>
      <c r="F94" s="6"/>
      <c r="G94" s="6" t="s">
        <v>99</v>
      </c>
      <c r="H94" s="7" t="s">
        <v>224</v>
      </c>
      <c r="I94" s="6" t="s">
        <v>225</v>
      </c>
    </row>
    <row r="95" spans="1:9" x14ac:dyDescent="0.25">
      <c r="A95" s="3" t="s">
        <v>150</v>
      </c>
      <c r="B95" s="3" t="s">
        <v>219</v>
      </c>
      <c r="C95" s="3" t="s">
        <v>226</v>
      </c>
      <c r="D95" s="4">
        <v>43592</v>
      </c>
      <c r="E95" s="5">
        <f ca="1">+_xlfn.DAYS(TODAY(),D95)/365.25</f>
        <v>5.8343600273785077</v>
      </c>
      <c r="F95" s="6"/>
      <c r="G95" s="6" t="s">
        <v>12</v>
      </c>
      <c r="H95" s="7" t="s">
        <v>227</v>
      </c>
      <c r="I95" s="6" t="s">
        <v>225</v>
      </c>
    </row>
    <row r="96" spans="1:9" x14ac:dyDescent="0.25">
      <c r="A96" s="3" t="s">
        <v>150</v>
      </c>
      <c r="B96" s="3" t="s">
        <v>219</v>
      </c>
      <c r="C96" s="3" t="s">
        <v>228</v>
      </c>
      <c r="D96" s="4">
        <v>43783</v>
      </c>
      <c r="E96" s="5">
        <f ca="1">+_xlfn.DAYS(TODAY(),D96)/365.25</f>
        <v>5.3114305270362765</v>
      </c>
      <c r="F96" s="6"/>
      <c r="G96" s="6" t="s">
        <v>12</v>
      </c>
      <c r="H96" s="7" t="s">
        <v>229</v>
      </c>
      <c r="I96" s="6" t="s">
        <v>225</v>
      </c>
    </row>
    <row r="97" spans="1:9" x14ac:dyDescent="0.25">
      <c r="A97" s="10" t="s">
        <v>230</v>
      </c>
      <c r="B97" s="10" t="s">
        <v>231</v>
      </c>
      <c r="C97" s="3" t="s">
        <v>232</v>
      </c>
      <c r="D97" s="11">
        <v>44567</v>
      </c>
      <c r="E97" s="5">
        <f ca="1">+_xlfn.DAYS(TODAY(),D97)/365.25</f>
        <v>3.1649555099247091</v>
      </c>
      <c r="F97" s="6"/>
      <c r="G97" s="6" t="s">
        <v>99</v>
      </c>
      <c r="H97" s="7" t="s">
        <v>233</v>
      </c>
      <c r="I97" s="6" t="s">
        <v>234</v>
      </c>
    </row>
    <row r="98" spans="1:9" x14ac:dyDescent="0.25">
      <c r="A98" s="3" t="s">
        <v>230</v>
      </c>
      <c r="B98" s="3" t="s">
        <v>231</v>
      </c>
      <c r="C98" s="3" t="s">
        <v>235</v>
      </c>
      <c r="D98" s="4">
        <v>44580</v>
      </c>
      <c r="E98" s="5">
        <f ca="1">+_xlfn.DAYS(TODAY(),D98)/365.25</f>
        <v>3.1293634496919918</v>
      </c>
      <c r="F98" s="6"/>
      <c r="G98" s="6" t="s">
        <v>12</v>
      </c>
      <c r="H98" s="7" t="s">
        <v>236</v>
      </c>
      <c r="I98" s="6" t="s">
        <v>234</v>
      </c>
    </row>
    <row r="99" spans="1:9" x14ac:dyDescent="0.25">
      <c r="A99" s="3" t="s">
        <v>230</v>
      </c>
      <c r="B99" s="3" t="s">
        <v>231</v>
      </c>
      <c r="C99" s="3" t="s">
        <v>237</v>
      </c>
      <c r="D99" s="4">
        <v>44580</v>
      </c>
      <c r="E99" s="5">
        <f ca="1">+_xlfn.DAYS(TODAY(),D99)/365.25</f>
        <v>3.1293634496919918</v>
      </c>
      <c r="F99" s="6"/>
      <c r="G99" s="6" t="s">
        <v>12</v>
      </c>
      <c r="H99" s="7" t="s">
        <v>238</v>
      </c>
      <c r="I99" s="6" t="s">
        <v>234</v>
      </c>
    </row>
    <row r="100" spans="1:9" x14ac:dyDescent="0.25">
      <c r="A100" s="3" t="s">
        <v>230</v>
      </c>
      <c r="B100" s="3" t="s">
        <v>231</v>
      </c>
      <c r="C100" s="3" t="s">
        <v>239</v>
      </c>
      <c r="D100" s="4">
        <v>44580</v>
      </c>
      <c r="E100" s="5">
        <f ca="1">+_xlfn.DAYS(TODAY(),D100)/365.25</f>
        <v>3.1293634496919918</v>
      </c>
      <c r="F100" s="6"/>
      <c r="G100" s="6" t="s">
        <v>12</v>
      </c>
      <c r="H100" s="7" t="s">
        <v>240</v>
      </c>
      <c r="I100" s="6" t="s">
        <v>234</v>
      </c>
    </row>
    <row r="101" spans="1:9" x14ac:dyDescent="0.25">
      <c r="A101" s="3" t="s">
        <v>230</v>
      </c>
      <c r="B101" s="3" t="s">
        <v>231</v>
      </c>
      <c r="C101" s="3" t="s">
        <v>241</v>
      </c>
      <c r="D101" s="4">
        <v>44580</v>
      </c>
      <c r="E101" s="5">
        <f ca="1">+_xlfn.DAYS(TODAY(),D101)/365.25</f>
        <v>3.1293634496919918</v>
      </c>
      <c r="F101" s="6"/>
      <c r="G101" s="6" t="s">
        <v>12</v>
      </c>
      <c r="H101" s="7" t="s">
        <v>242</v>
      </c>
      <c r="I101" s="6" t="s">
        <v>234</v>
      </c>
    </row>
    <row r="102" spans="1:9" x14ac:dyDescent="0.25">
      <c r="A102" s="3" t="s">
        <v>230</v>
      </c>
      <c r="B102" s="3" t="s">
        <v>231</v>
      </c>
      <c r="C102" s="3" t="s">
        <v>243</v>
      </c>
      <c r="D102" s="4">
        <v>44580</v>
      </c>
      <c r="E102" s="5">
        <f ca="1">+_xlfn.DAYS(TODAY(),D102)/365.25</f>
        <v>3.1293634496919918</v>
      </c>
      <c r="F102" s="6"/>
      <c r="G102" s="6" t="s">
        <v>12</v>
      </c>
      <c r="H102" s="12" t="s">
        <v>244</v>
      </c>
      <c r="I102" s="9"/>
    </row>
    <row r="103" spans="1:9" x14ac:dyDescent="0.25">
      <c r="A103" s="3" t="s">
        <v>230</v>
      </c>
      <c r="B103" s="3" t="s">
        <v>231</v>
      </c>
      <c r="C103" s="3" t="s">
        <v>245</v>
      </c>
      <c r="D103" s="4">
        <v>44580</v>
      </c>
      <c r="E103" s="5">
        <f ca="1">+_xlfn.DAYS(TODAY(),D103)/365.25</f>
        <v>3.1293634496919918</v>
      </c>
      <c r="F103" s="6"/>
      <c r="G103" s="6" t="s">
        <v>12</v>
      </c>
      <c r="H103" s="7" t="s">
        <v>246</v>
      </c>
      <c r="I103" s="9"/>
    </row>
    <row r="104" spans="1:9" x14ac:dyDescent="0.25">
      <c r="A104" s="3" t="s">
        <v>230</v>
      </c>
      <c r="B104" s="3" t="s">
        <v>231</v>
      </c>
      <c r="C104" s="3" t="s">
        <v>247</v>
      </c>
      <c r="D104" s="4">
        <v>44785</v>
      </c>
      <c r="E104" s="5">
        <f ca="1">+_xlfn.DAYS(TODAY(),D104)/365.25</f>
        <v>2.5681040383299112</v>
      </c>
      <c r="F104" s="6"/>
      <c r="G104" s="6" t="s">
        <v>248</v>
      </c>
      <c r="H104" s="7" t="s">
        <v>249</v>
      </c>
      <c r="I104" s="6" t="s">
        <v>234</v>
      </c>
    </row>
    <row r="105" spans="1:9" x14ac:dyDescent="0.25">
      <c r="A105" s="3" t="s">
        <v>230</v>
      </c>
      <c r="B105" s="3" t="s">
        <v>231</v>
      </c>
      <c r="C105" s="3" t="s">
        <v>250</v>
      </c>
      <c r="D105" s="4">
        <v>44785</v>
      </c>
      <c r="E105" s="5">
        <f ca="1">+_xlfn.DAYS(TODAY(),D105)/365.25</f>
        <v>2.5681040383299112</v>
      </c>
      <c r="F105" s="6"/>
      <c r="G105" s="6" t="s">
        <v>12</v>
      </c>
      <c r="H105" s="7" t="s">
        <v>251</v>
      </c>
      <c r="I105" s="6" t="s">
        <v>234</v>
      </c>
    </row>
    <row r="106" spans="1:9" x14ac:dyDescent="0.25">
      <c r="A106" s="3" t="s">
        <v>230</v>
      </c>
      <c r="B106" s="3" t="s">
        <v>231</v>
      </c>
      <c r="C106" s="3" t="s">
        <v>252</v>
      </c>
      <c r="D106" s="4">
        <v>44785</v>
      </c>
      <c r="E106" s="5">
        <f ca="1">+_xlfn.DAYS(TODAY(),D106)/365.25</f>
        <v>2.5681040383299112</v>
      </c>
      <c r="F106" s="6"/>
      <c r="G106" s="6" t="s">
        <v>12</v>
      </c>
      <c r="H106" s="7" t="s">
        <v>253</v>
      </c>
      <c r="I106" s="6" t="s">
        <v>234</v>
      </c>
    </row>
    <row r="107" spans="1:9" x14ac:dyDescent="0.25">
      <c r="A107" s="3" t="s">
        <v>230</v>
      </c>
      <c r="B107" s="3" t="s">
        <v>231</v>
      </c>
      <c r="C107" s="3" t="s">
        <v>254</v>
      </c>
      <c r="D107" s="4">
        <v>44785</v>
      </c>
      <c r="E107" s="5">
        <f ca="1">+_xlfn.DAYS(TODAY(),D107)/365.25</f>
        <v>2.5681040383299112</v>
      </c>
      <c r="F107" s="6"/>
      <c r="G107" s="6" t="s">
        <v>12</v>
      </c>
      <c r="H107" s="7" t="s">
        <v>255</v>
      </c>
      <c r="I107" s="6" t="s">
        <v>234</v>
      </c>
    </row>
    <row r="108" spans="1:9" x14ac:dyDescent="0.25">
      <c r="A108" s="13" t="s">
        <v>230</v>
      </c>
      <c r="B108" s="13" t="s">
        <v>231</v>
      </c>
      <c r="C108" s="3" t="s">
        <v>256</v>
      </c>
      <c r="D108" s="4">
        <v>45177</v>
      </c>
      <c r="E108" s="5">
        <f ca="1">+_xlfn.DAYS(TODAY(),D108)/365.25</f>
        <v>1.4948665297741273</v>
      </c>
      <c r="F108" s="6"/>
      <c r="G108" s="6" t="s">
        <v>12</v>
      </c>
      <c r="H108" s="8" t="s">
        <v>257</v>
      </c>
      <c r="I108" s="9"/>
    </row>
    <row r="109" spans="1:9" x14ac:dyDescent="0.25">
      <c r="A109" s="13" t="s">
        <v>230</v>
      </c>
      <c r="B109" s="13" t="s">
        <v>231</v>
      </c>
      <c r="C109" s="3" t="s">
        <v>258</v>
      </c>
      <c r="D109" s="14">
        <v>45177</v>
      </c>
      <c r="E109" s="5">
        <f ca="1">+_xlfn.DAYS(TODAY(),D109)/365.25</f>
        <v>1.4948665297741273</v>
      </c>
      <c r="F109" s="6"/>
      <c r="G109" s="6" t="s">
        <v>12</v>
      </c>
      <c r="H109" s="8" t="s">
        <v>259</v>
      </c>
      <c r="I109" s="6" t="s">
        <v>234</v>
      </c>
    </row>
    <row r="110" spans="1:9" x14ac:dyDescent="0.25">
      <c r="A110" s="3" t="s">
        <v>230</v>
      </c>
      <c r="B110" s="3" t="s">
        <v>260</v>
      </c>
      <c r="C110" s="3" t="s">
        <v>261</v>
      </c>
      <c r="D110" s="4">
        <v>41276</v>
      </c>
      <c r="E110" s="5">
        <f ca="1">+_xlfn.DAYS(TODAY(),D110)/365.25</f>
        <v>12.175222450376454</v>
      </c>
      <c r="F110" s="6"/>
      <c r="G110" s="6" t="s">
        <v>27</v>
      </c>
      <c r="H110" s="8" t="s">
        <v>262</v>
      </c>
      <c r="I110" s="6" t="s">
        <v>263</v>
      </c>
    </row>
    <row r="111" spans="1:9" x14ac:dyDescent="0.25">
      <c r="A111" s="3" t="s">
        <v>264</v>
      </c>
      <c r="B111" s="3" t="s">
        <v>265</v>
      </c>
      <c r="C111" s="3" t="s">
        <v>266</v>
      </c>
      <c r="D111" s="4">
        <v>44949</v>
      </c>
      <c r="E111" s="5">
        <f ca="1">+_xlfn.DAYS(TODAY(),D111)/365.25</f>
        <v>2.1190965092402463</v>
      </c>
      <c r="F111" s="6"/>
      <c r="G111" s="6" t="s">
        <v>12</v>
      </c>
      <c r="H111" s="7" t="s">
        <v>267</v>
      </c>
      <c r="I111" s="6" t="s">
        <v>268</v>
      </c>
    </row>
    <row r="112" spans="1:9" x14ac:dyDescent="0.25">
      <c r="A112" s="3" t="s">
        <v>264</v>
      </c>
      <c r="B112" s="3" t="s">
        <v>269</v>
      </c>
      <c r="C112" s="3" t="s">
        <v>270</v>
      </c>
      <c r="D112" s="4">
        <v>40951</v>
      </c>
      <c r="E112" s="5">
        <f ca="1">+_xlfn.DAYS(TODAY(),D112)/365.25</f>
        <v>13.065023956194388</v>
      </c>
      <c r="F112" s="6"/>
      <c r="G112" s="6" t="s">
        <v>12</v>
      </c>
      <c r="H112" s="8" t="s">
        <v>271</v>
      </c>
      <c r="I112" s="9"/>
    </row>
    <row r="113" spans="1:9" x14ac:dyDescent="0.25">
      <c r="A113" s="3" t="s">
        <v>264</v>
      </c>
      <c r="B113" s="3" t="s">
        <v>269</v>
      </c>
      <c r="C113" s="3" t="s">
        <v>272</v>
      </c>
      <c r="D113" s="4">
        <v>42566</v>
      </c>
      <c r="E113" s="5">
        <f ca="1">+_xlfn.DAYS(TODAY(),D113)/365.25</f>
        <v>8.6433949349760439</v>
      </c>
      <c r="F113" s="6"/>
      <c r="G113" s="6" t="s">
        <v>12</v>
      </c>
      <c r="H113" s="8" t="s">
        <v>273</v>
      </c>
      <c r="I113" s="6" t="s">
        <v>274</v>
      </c>
    </row>
    <row r="114" spans="1:9" x14ac:dyDescent="0.25">
      <c r="A114" s="3" t="s">
        <v>264</v>
      </c>
      <c r="B114" s="3" t="s">
        <v>269</v>
      </c>
      <c r="C114" s="3" t="s">
        <v>275</v>
      </c>
      <c r="D114" s="4">
        <v>42566</v>
      </c>
      <c r="E114" s="5">
        <f ca="1">+_xlfn.DAYS(TODAY(),D114)/365.25</f>
        <v>8.6433949349760439</v>
      </c>
      <c r="F114" s="6"/>
      <c r="G114" s="6" t="s">
        <v>12</v>
      </c>
      <c r="H114" s="8" t="s">
        <v>276</v>
      </c>
      <c r="I114" s="9"/>
    </row>
    <row r="115" spans="1:9" x14ac:dyDescent="0.25">
      <c r="A115" s="3" t="s">
        <v>264</v>
      </c>
      <c r="B115" s="3" t="s">
        <v>269</v>
      </c>
      <c r="C115" s="3" t="s">
        <v>277</v>
      </c>
      <c r="D115" s="4">
        <v>42566</v>
      </c>
      <c r="E115" s="5">
        <f ca="1">+_xlfn.DAYS(TODAY(),D115)/365.25</f>
        <v>8.6433949349760439</v>
      </c>
      <c r="F115" s="6"/>
      <c r="G115" s="6" t="s">
        <v>27</v>
      </c>
      <c r="H115" s="8" t="s">
        <v>278</v>
      </c>
      <c r="I115" s="6" t="s">
        <v>274</v>
      </c>
    </row>
    <row r="116" spans="1:9" x14ac:dyDescent="0.25">
      <c r="A116" s="3" t="s">
        <v>264</v>
      </c>
      <c r="B116" s="3" t="s">
        <v>269</v>
      </c>
      <c r="C116" s="3" t="s">
        <v>279</v>
      </c>
      <c r="D116" s="4">
        <v>42566</v>
      </c>
      <c r="E116" s="5">
        <f ca="1">+_xlfn.DAYS(TODAY(),D116)/365.25</f>
        <v>8.6433949349760439</v>
      </c>
      <c r="F116" s="6"/>
      <c r="G116" s="6" t="s">
        <v>12</v>
      </c>
      <c r="H116" s="8" t="s">
        <v>280</v>
      </c>
      <c r="I116" s="6" t="s">
        <v>274</v>
      </c>
    </row>
    <row r="117" spans="1:9" x14ac:dyDescent="0.25">
      <c r="A117" s="3" t="s">
        <v>264</v>
      </c>
      <c r="B117" s="3" t="s">
        <v>269</v>
      </c>
      <c r="C117" s="3" t="s">
        <v>281</v>
      </c>
      <c r="D117" s="4">
        <v>42566</v>
      </c>
      <c r="E117" s="5">
        <f ca="1">+_xlfn.DAYS(TODAY(),D117)/365.25</f>
        <v>8.6433949349760439</v>
      </c>
      <c r="F117" s="6"/>
      <c r="G117" s="6" t="s">
        <v>12</v>
      </c>
      <c r="H117" s="8" t="s">
        <v>282</v>
      </c>
      <c r="I117" s="6" t="s">
        <v>274</v>
      </c>
    </row>
    <row r="118" spans="1:9" x14ac:dyDescent="0.25">
      <c r="A118" s="3" t="s">
        <v>264</v>
      </c>
      <c r="B118" s="3" t="s">
        <v>269</v>
      </c>
      <c r="C118" s="3" t="s">
        <v>283</v>
      </c>
      <c r="D118" s="4">
        <v>42566</v>
      </c>
      <c r="E118" s="5">
        <f ca="1">+_xlfn.DAYS(TODAY(),D118)/365.25</f>
        <v>8.6433949349760439</v>
      </c>
      <c r="F118" s="6"/>
      <c r="G118" s="6" t="s">
        <v>12</v>
      </c>
      <c r="H118" s="8" t="s">
        <v>284</v>
      </c>
      <c r="I118" s="6" t="s">
        <v>274</v>
      </c>
    </row>
    <row r="119" spans="1:9" x14ac:dyDescent="0.25">
      <c r="A119" s="3" t="s">
        <v>264</v>
      </c>
      <c r="B119" s="3" t="s">
        <v>269</v>
      </c>
      <c r="C119" s="3" t="s">
        <v>285</v>
      </c>
      <c r="D119" s="4">
        <v>42566</v>
      </c>
      <c r="E119" s="5">
        <f ca="1">+_xlfn.DAYS(TODAY(),D119)/365.25</f>
        <v>8.6433949349760439</v>
      </c>
      <c r="F119" s="6"/>
      <c r="G119" s="6" t="s">
        <v>12</v>
      </c>
      <c r="H119" s="8" t="s">
        <v>286</v>
      </c>
      <c r="I119" s="6" t="s">
        <v>274</v>
      </c>
    </row>
    <row r="120" spans="1:9" x14ac:dyDescent="0.25">
      <c r="A120" s="3" t="s">
        <v>264</v>
      </c>
      <c r="B120" s="3" t="s">
        <v>269</v>
      </c>
      <c r="C120" s="3" t="s">
        <v>287</v>
      </c>
      <c r="D120" s="4">
        <v>42566</v>
      </c>
      <c r="E120" s="5">
        <f ca="1">+_xlfn.DAYS(TODAY(),D120)/365.25</f>
        <v>8.6433949349760439</v>
      </c>
      <c r="F120" s="6"/>
      <c r="G120" s="6" t="s">
        <v>12</v>
      </c>
      <c r="H120" s="8" t="s">
        <v>288</v>
      </c>
      <c r="I120" s="6" t="s">
        <v>274</v>
      </c>
    </row>
    <row r="121" spans="1:9" x14ac:dyDescent="0.25">
      <c r="A121" s="3" t="s">
        <v>264</v>
      </c>
      <c r="B121" s="3" t="s">
        <v>269</v>
      </c>
      <c r="C121" s="3" t="s">
        <v>289</v>
      </c>
      <c r="D121" s="4">
        <v>42566</v>
      </c>
      <c r="E121" s="5">
        <f ca="1">+_xlfn.DAYS(TODAY(),D121)/365.25</f>
        <v>8.6433949349760439</v>
      </c>
      <c r="F121" s="6"/>
      <c r="G121" s="6" t="s">
        <v>12</v>
      </c>
      <c r="H121" s="8" t="s">
        <v>290</v>
      </c>
      <c r="I121" s="6" t="s">
        <v>274</v>
      </c>
    </row>
    <row r="122" spans="1:9" x14ac:dyDescent="0.25">
      <c r="A122" s="3" t="s">
        <v>264</v>
      </c>
      <c r="B122" s="3" t="s">
        <v>269</v>
      </c>
      <c r="C122" s="3" t="s">
        <v>291</v>
      </c>
      <c r="D122" s="4">
        <v>42566</v>
      </c>
      <c r="E122" s="5">
        <f ca="1">+_xlfn.DAYS(TODAY(),D122)/365.25</f>
        <v>8.6433949349760439</v>
      </c>
      <c r="F122" s="6"/>
      <c r="G122" s="6" t="s">
        <v>12</v>
      </c>
      <c r="H122" s="8" t="s">
        <v>292</v>
      </c>
      <c r="I122" s="6" t="s">
        <v>274</v>
      </c>
    </row>
    <row r="123" spans="1:9" x14ac:dyDescent="0.25">
      <c r="A123" s="3" t="s">
        <v>264</v>
      </c>
      <c r="B123" s="3" t="s">
        <v>269</v>
      </c>
      <c r="C123" s="3" t="s">
        <v>293</v>
      </c>
      <c r="D123" s="4">
        <v>42566</v>
      </c>
      <c r="E123" s="5">
        <f ca="1">+_xlfn.DAYS(TODAY(),D123)/365.25</f>
        <v>8.6433949349760439</v>
      </c>
      <c r="F123" s="6"/>
      <c r="G123" s="6" t="s">
        <v>12</v>
      </c>
      <c r="H123" s="8" t="s">
        <v>294</v>
      </c>
      <c r="I123" s="6" t="s">
        <v>274</v>
      </c>
    </row>
    <row r="124" spans="1:9" x14ac:dyDescent="0.25">
      <c r="A124" s="3" t="s">
        <v>264</v>
      </c>
      <c r="B124" s="3" t="s">
        <v>269</v>
      </c>
      <c r="C124" s="3" t="s">
        <v>295</v>
      </c>
      <c r="D124" s="4">
        <v>42844</v>
      </c>
      <c r="E124" s="5">
        <f ca="1">+_xlfn.DAYS(TODAY(),D124)/365.25</f>
        <v>7.8822724161533193</v>
      </c>
      <c r="F124" s="6"/>
      <c r="G124" s="6" t="s">
        <v>12</v>
      </c>
      <c r="H124" s="7" t="s">
        <v>296</v>
      </c>
      <c r="I124" s="6" t="s">
        <v>274</v>
      </c>
    </row>
    <row r="125" spans="1:9" x14ac:dyDescent="0.25">
      <c r="A125" s="3" t="s">
        <v>264</v>
      </c>
      <c r="B125" s="3" t="s">
        <v>269</v>
      </c>
      <c r="C125" s="3" t="s">
        <v>297</v>
      </c>
      <c r="D125" s="4">
        <v>42844</v>
      </c>
      <c r="E125" s="5">
        <f ca="1">+_xlfn.DAYS(TODAY(),D125)/365.25</f>
        <v>7.8822724161533193</v>
      </c>
      <c r="F125" s="6"/>
      <c r="G125" s="6" t="s">
        <v>12</v>
      </c>
      <c r="H125" s="7" t="s">
        <v>298</v>
      </c>
      <c r="I125" s="6" t="s">
        <v>274</v>
      </c>
    </row>
    <row r="126" spans="1:9" x14ac:dyDescent="0.25">
      <c r="A126" s="3" t="s">
        <v>264</v>
      </c>
      <c r="B126" s="3" t="s">
        <v>269</v>
      </c>
      <c r="C126" s="3" t="s">
        <v>299</v>
      </c>
      <c r="D126" s="4">
        <v>42844</v>
      </c>
      <c r="E126" s="5">
        <f ca="1">+_xlfn.DAYS(TODAY(),D126)/365.25</f>
        <v>7.8822724161533193</v>
      </c>
      <c r="F126" s="6"/>
      <c r="G126" s="6" t="s">
        <v>12</v>
      </c>
      <c r="H126" s="7" t="s">
        <v>300</v>
      </c>
      <c r="I126" s="9"/>
    </row>
    <row r="127" spans="1:9" x14ac:dyDescent="0.25">
      <c r="A127" s="3" t="s">
        <v>264</v>
      </c>
      <c r="B127" s="3" t="s">
        <v>301</v>
      </c>
      <c r="C127" s="3" t="s">
        <v>302</v>
      </c>
      <c r="D127" s="4">
        <v>41152</v>
      </c>
      <c r="E127" s="5">
        <f ca="1">+_xlfn.DAYS(TODAY(),D127)/365.25</f>
        <v>12.514715947980836</v>
      </c>
      <c r="F127" s="6"/>
      <c r="G127" s="6" t="s">
        <v>12</v>
      </c>
      <c r="H127" s="8" t="s">
        <v>303</v>
      </c>
      <c r="I127" s="6" t="s">
        <v>304</v>
      </c>
    </row>
    <row r="128" spans="1:9" x14ac:dyDescent="0.25">
      <c r="A128" s="3" t="s">
        <v>264</v>
      </c>
      <c r="B128" s="3" t="s">
        <v>301</v>
      </c>
      <c r="C128" s="3" t="s">
        <v>305</v>
      </c>
      <c r="D128" s="4">
        <v>42682</v>
      </c>
      <c r="E128" s="5">
        <f ca="1">+_xlfn.DAYS(TODAY(),D128)/365.25</f>
        <v>8.3258042436687205</v>
      </c>
      <c r="F128" s="6"/>
      <c r="G128" s="6" t="s">
        <v>12</v>
      </c>
      <c r="H128" s="8" t="s">
        <v>306</v>
      </c>
      <c r="I128" s="6" t="s">
        <v>307</v>
      </c>
    </row>
    <row r="129" spans="1:9" x14ac:dyDescent="0.25">
      <c r="A129" s="3" t="s">
        <v>264</v>
      </c>
      <c r="B129" s="3" t="s">
        <v>301</v>
      </c>
      <c r="C129" s="3" t="s">
        <v>308</v>
      </c>
      <c r="D129" s="4">
        <v>42697</v>
      </c>
      <c r="E129" s="5">
        <f ca="1">+_xlfn.DAYS(TODAY(),D129)/365.25</f>
        <v>8.2847364818617386</v>
      </c>
      <c r="F129" s="6"/>
      <c r="G129" s="6" t="s">
        <v>12</v>
      </c>
      <c r="H129" s="8" t="s">
        <v>309</v>
      </c>
      <c r="I129" s="6" t="s">
        <v>307</v>
      </c>
    </row>
    <row r="130" spans="1:9" x14ac:dyDescent="0.25">
      <c r="A130" s="3" t="s">
        <v>264</v>
      </c>
      <c r="B130" s="3" t="s">
        <v>310</v>
      </c>
      <c r="C130" s="3" t="s">
        <v>311</v>
      </c>
      <c r="D130" s="4">
        <v>43389</v>
      </c>
      <c r="E130" s="5">
        <f ca="1">+_xlfn.DAYS(TODAY(),D130)/365.25</f>
        <v>6.3901437371663246</v>
      </c>
      <c r="F130" s="6"/>
      <c r="G130" s="6" t="s">
        <v>12</v>
      </c>
      <c r="H130" s="7" t="s">
        <v>312</v>
      </c>
      <c r="I130" s="6" t="s">
        <v>313</v>
      </c>
    </row>
    <row r="131" spans="1:9" x14ac:dyDescent="0.25">
      <c r="A131" s="3" t="s">
        <v>314</v>
      </c>
      <c r="B131" s="3" t="s">
        <v>315</v>
      </c>
      <c r="C131" s="3" t="s">
        <v>316</v>
      </c>
      <c r="D131" s="4">
        <v>44562</v>
      </c>
      <c r="E131" s="5">
        <f ca="1">+_xlfn.DAYS(TODAY(),D131)/365.25</f>
        <v>3.1786447638603694</v>
      </c>
      <c r="F131" s="6"/>
      <c r="G131" s="6" t="s">
        <v>12</v>
      </c>
      <c r="H131" s="7" t="s">
        <v>317</v>
      </c>
      <c r="I131" s="6" t="s">
        <v>318</v>
      </c>
    </row>
    <row r="132" spans="1:9" x14ac:dyDescent="0.25">
      <c r="A132" s="3" t="s">
        <v>319</v>
      </c>
      <c r="B132" s="3" t="s">
        <v>320</v>
      </c>
      <c r="C132" s="3" t="s">
        <v>321</v>
      </c>
      <c r="D132" s="4">
        <v>41634</v>
      </c>
      <c r="E132" s="5">
        <f ca="1">+_xlfn.DAYS(TODAY(),D132)/365.25</f>
        <v>11.195071868583161</v>
      </c>
      <c r="F132" s="6"/>
      <c r="G132" s="6" t="s">
        <v>27</v>
      </c>
      <c r="H132" s="8" t="s">
        <v>322</v>
      </c>
      <c r="I132" s="6" t="s">
        <v>323</v>
      </c>
    </row>
    <row r="133" spans="1:9" x14ac:dyDescent="0.25">
      <c r="A133" s="3" t="s">
        <v>319</v>
      </c>
      <c r="B133" s="3" t="s">
        <v>320</v>
      </c>
      <c r="C133" s="3" t="s">
        <v>324</v>
      </c>
      <c r="D133" s="4">
        <v>41981</v>
      </c>
      <c r="E133" s="5">
        <f ca="1">+_xlfn.DAYS(TODAY(),D133)/365.25</f>
        <v>10.245037645448322</v>
      </c>
      <c r="F133" s="6"/>
      <c r="G133" s="6" t="s">
        <v>30</v>
      </c>
      <c r="H133" s="8" t="s">
        <v>325</v>
      </c>
      <c r="I133" s="9"/>
    </row>
    <row r="134" spans="1:9" x14ac:dyDescent="0.25">
      <c r="A134" s="15" t="s">
        <v>319</v>
      </c>
      <c r="B134" s="15" t="s">
        <v>320</v>
      </c>
      <c r="C134" s="3" t="s">
        <v>326</v>
      </c>
      <c r="D134" s="16">
        <v>42060</v>
      </c>
      <c r="E134" s="17">
        <f ca="1">+_xlfn.DAYS(TODAY(),D134)/365.25</f>
        <v>10.028747433264886</v>
      </c>
      <c r="F134" s="18"/>
      <c r="G134" s="18" t="s">
        <v>99</v>
      </c>
      <c r="H134" s="8" t="s">
        <v>327</v>
      </c>
      <c r="I134" s="18" t="s">
        <v>328</v>
      </c>
    </row>
    <row r="135" spans="1:9" x14ac:dyDescent="0.25">
      <c r="A135" s="3" t="s">
        <v>319</v>
      </c>
      <c r="B135" s="3" t="s">
        <v>320</v>
      </c>
      <c r="C135" s="3" t="s">
        <v>329</v>
      </c>
      <c r="D135" s="4">
        <v>42087</v>
      </c>
      <c r="E135" s="5">
        <f ca="1">+_xlfn.DAYS(TODAY(),D135)/365.25</f>
        <v>9.9548254620123195</v>
      </c>
      <c r="F135" s="6"/>
      <c r="G135" s="6" t="s">
        <v>12</v>
      </c>
      <c r="H135" s="8" t="s">
        <v>330</v>
      </c>
      <c r="I135" s="6" t="s">
        <v>328</v>
      </c>
    </row>
    <row r="136" spans="1:9" x14ac:dyDescent="0.25">
      <c r="A136" s="10" t="s">
        <v>319</v>
      </c>
      <c r="B136" s="10" t="s">
        <v>331</v>
      </c>
      <c r="C136" s="3" t="s">
        <v>332</v>
      </c>
      <c r="D136" s="11">
        <v>43140</v>
      </c>
      <c r="E136" s="5">
        <f ca="1">+_xlfn.DAYS(TODAY(),D136)/365.25</f>
        <v>7.0718685831622174</v>
      </c>
      <c r="F136" s="6"/>
      <c r="G136" s="6" t="s">
        <v>99</v>
      </c>
      <c r="H136" s="7" t="s">
        <v>333</v>
      </c>
      <c r="I136" s="6" t="s">
        <v>334</v>
      </c>
    </row>
    <row r="137" spans="1:9" x14ac:dyDescent="0.25">
      <c r="A137" s="3" t="s">
        <v>319</v>
      </c>
      <c r="B137" s="3" t="s">
        <v>335</v>
      </c>
      <c r="C137" s="3" t="s">
        <v>336</v>
      </c>
      <c r="D137" s="4">
        <v>43297</v>
      </c>
      <c r="E137" s="5">
        <f ca="1">+_xlfn.DAYS(TODAY(),D137)/365.25</f>
        <v>6.6420260095824775</v>
      </c>
      <c r="F137" s="6"/>
      <c r="G137" s="6" t="s">
        <v>12</v>
      </c>
      <c r="H137" s="7" t="s">
        <v>337</v>
      </c>
      <c r="I137" s="6" t="s">
        <v>338</v>
      </c>
    </row>
    <row r="138" spans="1:9" x14ac:dyDescent="0.25">
      <c r="A138" s="3" t="s">
        <v>319</v>
      </c>
      <c r="B138" s="3" t="s">
        <v>339</v>
      </c>
      <c r="C138" s="3" t="s">
        <v>340</v>
      </c>
      <c r="D138" s="4">
        <v>41781</v>
      </c>
      <c r="E138" s="5">
        <f ca="1">+_xlfn.DAYS(TODAY(),D138)/365.25</f>
        <v>10.792607802874743</v>
      </c>
      <c r="F138" s="6"/>
      <c r="G138" s="6" t="s">
        <v>91</v>
      </c>
      <c r="H138" s="8" t="s">
        <v>341</v>
      </c>
      <c r="I138" s="6" t="s">
        <v>342</v>
      </c>
    </row>
    <row r="139" spans="1:9" x14ac:dyDescent="0.25">
      <c r="A139" s="3" t="s">
        <v>319</v>
      </c>
      <c r="B139" s="3" t="s">
        <v>339</v>
      </c>
      <c r="C139" s="3" t="s">
        <v>343</v>
      </c>
      <c r="D139" s="4">
        <v>41781</v>
      </c>
      <c r="E139" s="5">
        <f ca="1">+_xlfn.DAYS(TODAY(),D139)/365.25</f>
        <v>10.792607802874743</v>
      </c>
      <c r="F139" s="6"/>
      <c r="G139" s="6" t="s">
        <v>91</v>
      </c>
      <c r="H139" s="8" t="s">
        <v>344</v>
      </c>
      <c r="I139" s="9"/>
    </row>
    <row r="140" spans="1:9" x14ac:dyDescent="0.25">
      <c r="A140" s="3" t="s">
        <v>319</v>
      </c>
      <c r="B140" s="3" t="s">
        <v>339</v>
      </c>
      <c r="C140" s="3" t="s">
        <v>345</v>
      </c>
      <c r="D140" s="4">
        <v>41781</v>
      </c>
      <c r="E140" s="5">
        <f ca="1">+_xlfn.DAYS(TODAY(),D140)/365.25</f>
        <v>10.792607802874743</v>
      </c>
      <c r="F140" s="6"/>
      <c r="G140" s="6" t="s">
        <v>91</v>
      </c>
      <c r="H140" s="8" t="s">
        <v>346</v>
      </c>
      <c r="I140" s="6" t="s">
        <v>342</v>
      </c>
    </row>
    <row r="141" spans="1:9" x14ac:dyDescent="0.25">
      <c r="A141" s="3" t="s">
        <v>319</v>
      </c>
      <c r="B141" s="3" t="s">
        <v>339</v>
      </c>
      <c r="C141" s="3" t="s">
        <v>347</v>
      </c>
      <c r="D141" s="4">
        <v>41781</v>
      </c>
      <c r="E141" s="5">
        <f ca="1">+_xlfn.DAYS(TODAY(),D141)/365.25</f>
        <v>10.792607802874743</v>
      </c>
      <c r="F141" s="6"/>
      <c r="G141" s="6" t="s">
        <v>91</v>
      </c>
      <c r="H141" s="8" t="s">
        <v>348</v>
      </c>
      <c r="I141" s="6" t="s">
        <v>342</v>
      </c>
    </row>
    <row r="142" spans="1:9" x14ac:dyDescent="0.25">
      <c r="A142" s="3" t="s">
        <v>319</v>
      </c>
      <c r="B142" s="3" t="s">
        <v>339</v>
      </c>
      <c r="C142" s="3" t="s">
        <v>349</v>
      </c>
      <c r="D142" s="4">
        <v>42248</v>
      </c>
      <c r="E142" s="5">
        <f ca="1">+_xlfn.DAYS(TODAY(),D142)/365.25</f>
        <v>9.5140314852840522</v>
      </c>
      <c r="F142" s="6"/>
      <c r="G142" s="6" t="s">
        <v>147</v>
      </c>
      <c r="H142" s="8" t="s">
        <v>350</v>
      </c>
      <c r="I142" s="6" t="s">
        <v>342</v>
      </c>
    </row>
    <row r="143" spans="1:9" x14ac:dyDescent="0.25">
      <c r="A143" s="3" t="s">
        <v>319</v>
      </c>
      <c r="B143" s="3" t="s">
        <v>339</v>
      </c>
      <c r="C143" s="3" t="s">
        <v>351</v>
      </c>
      <c r="D143" s="4">
        <v>42286</v>
      </c>
      <c r="E143" s="5">
        <f ca="1">+_xlfn.DAYS(TODAY(),D143)/365.25</f>
        <v>9.4099931553730318</v>
      </c>
      <c r="F143" s="6"/>
      <c r="G143" s="6" t="s">
        <v>30</v>
      </c>
      <c r="H143" s="8" t="s">
        <v>352</v>
      </c>
      <c r="I143" s="9"/>
    </row>
    <row r="144" spans="1:9" x14ac:dyDescent="0.25">
      <c r="A144" s="3" t="s">
        <v>319</v>
      </c>
      <c r="B144" s="3" t="s">
        <v>339</v>
      </c>
      <c r="C144" s="3" t="s">
        <v>353</v>
      </c>
      <c r="D144" s="4">
        <v>43042</v>
      </c>
      <c r="E144" s="5">
        <f ca="1">+_xlfn.DAYS(TODAY(),D144)/365.25</f>
        <v>7.3401779603011637</v>
      </c>
      <c r="F144" s="6"/>
      <c r="G144" s="6" t="s">
        <v>30</v>
      </c>
      <c r="H144" s="9"/>
      <c r="I144" s="9"/>
    </row>
    <row r="145" spans="1:9" x14ac:dyDescent="0.25">
      <c r="A145" s="3" t="s">
        <v>319</v>
      </c>
      <c r="B145" s="3" t="s">
        <v>339</v>
      </c>
      <c r="C145" s="3" t="s">
        <v>354</v>
      </c>
      <c r="D145" s="4">
        <v>43042</v>
      </c>
      <c r="E145" s="5">
        <f ca="1">+_xlfn.DAYS(TODAY(),D145)/365.25</f>
        <v>7.3401779603011637</v>
      </c>
      <c r="F145" s="6"/>
      <c r="G145" s="6" t="s">
        <v>30</v>
      </c>
      <c r="H145" s="7" t="s">
        <v>355</v>
      </c>
      <c r="I145" s="6" t="s">
        <v>342</v>
      </c>
    </row>
    <row r="146" spans="1:9" x14ac:dyDescent="0.25">
      <c r="A146" s="3" t="s">
        <v>319</v>
      </c>
      <c r="B146" s="3" t="s">
        <v>356</v>
      </c>
      <c r="C146" s="3" t="s">
        <v>357</v>
      </c>
      <c r="D146" s="4">
        <v>41809</v>
      </c>
      <c r="E146" s="5">
        <f ca="1">+_xlfn.DAYS(TODAY(),D146)/365.25</f>
        <v>10.715947980835045</v>
      </c>
      <c r="F146" s="6"/>
      <c r="G146" s="6" t="s">
        <v>12</v>
      </c>
      <c r="H146" s="8" t="s">
        <v>358</v>
      </c>
      <c r="I146" s="6" t="s">
        <v>359</v>
      </c>
    </row>
    <row r="147" spans="1:9" x14ac:dyDescent="0.25">
      <c r="A147" s="3" t="s">
        <v>319</v>
      </c>
      <c r="B147" s="3" t="s">
        <v>356</v>
      </c>
      <c r="C147" s="3" t="s">
        <v>360</v>
      </c>
      <c r="D147" s="4">
        <v>41809</v>
      </c>
      <c r="E147" s="5">
        <f ca="1">+_xlfn.DAYS(TODAY(),D147)/365.25</f>
        <v>10.715947980835045</v>
      </c>
      <c r="F147" s="6"/>
      <c r="G147" s="6" t="s">
        <v>12</v>
      </c>
      <c r="H147" s="8" t="s">
        <v>361</v>
      </c>
      <c r="I147" s="6" t="s">
        <v>359</v>
      </c>
    </row>
    <row r="148" spans="1:9" x14ac:dyDescent="0.25">
      <c r="A148" s="3" t="s">
        <v>319</v>
      </c>
      <c r="B148" s="3" t="s">
        <v>356</v>
      </c>
      <c r="C148" s="3" t="s">
        <v>362</v>
      </c>
      <c r="D148" s="4">
        <v>41911</v>
      </c>
      <c r="E148" s="5">
        <f ca="1">+_xlfn.DAYS(TODAY(),D148)/365.25</f>
        <v>10.436687200547571</v>
      </c>
      <c r="F148" s="6"/>
      <c r="G148" s="6" t="s">
        <v>147</v>
      </c>
      <c r="H148" s="8" t="s">
        <v>363</v>
      </c>
      <c r="I148" s="6" t="s">
        <v>359</v>
      </c>
    </row>
    <row r="149" spans="1:9" x14ac:dyDescent="0.25">
      <c r="A149" s="3" t="s">
        <v>319</v>
      </c>
      <c r="B149" s="3" t="s">
        <v>356</v>
      </c>
      <c r="C149" s="3" t="s">
        <v>364</v>
      </c>
      <c r="D149" s="4">
        <v>41918</v>
      </c>
      <c r="E149" s="5">
        <f ca="1">+_xlfn.DAYS(TODAY(),D149)/365.25</f>
        <v>10.417522245037645</v>
      </c>
      <c r="F149" s="6"/>
      <c r="G149" s="6" t="s">
        <v>27</v>
      </c>
      <c r="H149" s="8" t="s">
        <v>365</v>
      </c>
      <c r="I149" s="6" t="s">
        <v>359</v>
      </c>
    </row>
    <row r="150" spans="1:9" x14ac:dyDescent="0.25">
      <c r="A150" s="3" t="s">
        <v>319</v>
      </c>
      <c r="B150" s="3" t="s">
        <v>356</v>
      </c>
      <c r="C150" s="3" t="s">
        <v>366</v>
      </c>
      <c r="D150" s="4">
        <v>42200</v>
      </c>
      <c r="E150" s="5">
        <f ca="1">+_xlfn.DAYS(TODAY(),D150)/365.25</f>
        <v>9.6454483230663932</v>
      </c>
      <c r="F150" s="6"/>
      <c r="G150" s="6" t="s">
        <v>12</v>
      </c>
      <c r="H150" s="8" t="s">
        <v>367</v>
      </c>
      <c r="I150" s="6" t="s">
        <v>359</v>
      </c>
    </row>
    <row r="151" spans="1:9" x14ac:dyDescent="0.25">
      <c r="A151" s="3" t="s">
        <v>319</v>
      </c>
      <c r="B151" s="3" t="s">
        <v>356</v>
      </c>
      <c r="C151" s="3" t="s">
        <v>368</v>
      </c>
      <c r="D151" s="4">
        <v>42303</v>
      </c>
      <c r="E151" s="5">
        <f ca="1">+_xlfn.DAYS(TODAY(),D151)/365.25</f>
        <v>9.3634496919917858</v>
      </c>
      <c r="F151" s="6"/>
      <c r="G151" s="6" t="s">
        <v>27</v>
      </c>
      <c r="H151" s="8" t="s">
        <v>369</v>
      </c>
      <c r="I151" s="9"/>
    </row>
    <row r="152" spans="1:9" x14ac:dyDescent="0.25">
      <c r="A152" s="3" t="s">
        <v>319</v>
      </c>
      <c r="B152" s="3" t="s">
        <v>356</v>
      </c>
      <c r="C152" s="3" t="s">
        <v>370</v>
      </c>
      <c r="D152" s="4">
        <v>42865</v>
      </c>
      <c r="E152" s="5">
        <f ca="1">+_xlfn.DAYS(TODAY(),D152)/365.25</f>
        <v>7.8247775496235459</v>
      </c>
      <c r="F152" s="6"/>
      <c r="G152" s="6" t="s">
        <v>147</v>
      </c>
      <c r="H152" s="7" t="s">
        <v>363</v>
      </c>
      <c r="I152" s="6" t="s">
        <v>359</v>
      </c>
    </row>
    <row r="153" spans="1:9" x14ac:dyDescent="0.25">
      <c r="A153" s="19" t="s">
        <v>371</v>
      </c>
      <c r="B153" s="19" t="s">
        <v>372</v>
      </c>
      <c r="C153" s="19" t="s">
        <v>373</v>
      </c>
      <c r="D153" s="20">
        <v>44578</v>
      </c>
      <c r="E153" s="5">
        <f ca="1">+_xlfn.DAYS(TODAY(),D153)/365.25</f>
        <v>3.1348391512662559</v>
      </c>
      <c r="F153" s="21"/>
      <c r="G153" s="22" t="s">
        <v>27</v>
      </c>
      <c r="H153" s="23" t="s">
        <v>374</v>
      </c>
      <c r="I153" s="21" t="s">
        <v>375</v>
      </c>
    </row>
    <row r="154" spans="1:9" x14ac:dyDescent="0.25">
      <c r="A154" s="23" t="s">
        <v>371</v>
      </c>
      <c r="B154" s="23" t="s">
        <v>376</v>
      </c>
      <c r="C154" s="23" t="s">
        <v>377</v>
      </c>
      <c r="D154" s="20">
        <v>44551</v>
      </c>
      <c r="E154" s="5">
        <f ca="1">+_xlfn.DAYS(TODAY(),D154)/365.25</f>
        <v>3.2087611225188226</v>
      </c>
      <c r="F154" s="21"/>
      <c r="G154" s="22" t="s">
        <v>27</v>
      </c>
      <c r="H154" s="23" t="s">
        <v>379</v>
      </c>
      <c r="I154" s="21" t="s">
        <v>380</v>
      </c>
    </row>
    <row r="155" spans="1:9" x14ac:dyDescent="0.25">
      <c r="A155" s="15" t="s">
        <v>381</v>
      </c>
      <c r="B155" s="15" t="s">
        <v>382</v>
      </c>
      <c r="C155" s="3" t="s">
        <v>383</v>
      </c>
      <c r="D155" s="16">
        <v>41869</v>
      </c>
      <c r="E155" s="5">
        <f ca="1">+_xlfn.DAYS(TODAY(),D155)/365.25</f>
        <v>10.551676933607119</v>
      </c>
      <c r="F155" s="6"/>
      <c r="G155" s="6" t="s">
        <v>91</v>
      </c>
      <c r="H155" s="8" t="s">
        <v>384</v>
      </c>
      <c r="I155" s="9"/>
    </row>
    <row r="156" spans="1:9" x14ac:dyDescent="0.25">
      <c r="A156" s="10" t="s">
        <v>381</v>
      </c>
      <c r="B156" s="10" t="s">
        <v>382</v>
      </c>
      <c r="C156" s="3" t="s">
        <v>385</v>
      </c>
      <c r="D156" s="11">
        <v>44567</v>
      </c>
      <c r="E156" s="5">
        <f ca="1">+_xlfn.DAYS(TODAY(),D156)/365.25</f>
        <v>3.1649555099247091</v>
      </c>
      <c r="F156" s="6"/>
      <c r="G156" s="6" t="s">
        <v>99</v>
      </c>
      <c r="H156" s="7" t="s">
        <v>386</v>
      </c>
      <c r="I156" s="6" t="s">
        <v>387</v>
      </c>
    </row>
    <row r="157" spans="1:9" x14ac:dyDescent="0.25">
      <c r="A157" s="10" t="s">
        <v>381</v>
      </c>
      <c r="B157" s="10" t="s">
        <v>382</v>
      </c>
      <c r="C157" s="3" t="s">
        <v>388</v>
      </c>
      <c r="D157" s="11">
        <v>44567</v>
      </c>
      <c r="E157" s="5">
        <f ca="1">+_xlfn.DAYS(TODAY(),D157)/365.25</f>
        <v>3.1649555099247091</v>
      </c>
      <c r="F157" s="6"/>
      <c r="G157" s="6" t="s">
        <v>99</v>
      </c>
      <c r="H157" s="7" t="s">
        <v>389</v>
      </c>
      <c r="I157" s="6" t="s">
        <v>387</v>
      </c>
    </row>
    <row r="158" spans="1:9" x14ac:dyDescent="0.25">
      <c r="A158" s="3" t="s">
        <v>381</v>
      </c>
      <c r="B158" s="3" t="s">
        <v>382</v>
      </c>
      <c r="C158" s="3" t="s">
        <v>390</v>
      </c>
      <c r="D158" s="4">
        <v>44567</v>
      </c>
      <c r="E158" s="5">
        <f ca="1">+_xlfn.DAYS(TODAY(),D158)/365.25</f>
        <v>3.1649555099247091</v>
      </c>
      <c r="F158" s="6"/>
      <c r="G158" s="6" t="s">
        <v>248</v>
      </c>
      <c r="H158" s="7" t="s">
        <v>391</v>
      </c>
      <c r="I158" s="6" t="s">
        <v>387</v>
      </c>
    </row>
    <row r="159" spans="1:9" x14ac:dyDescent="0.25">
      <c r="A159" s="3" t="s">
        <v>381</v>
      </c>
      <c r="B159" s="10" t="s">
        <v>382</v>
      </c>
      <c r="C159" s="3" t="s">
        <v>392</v>
      </c>
      <c r="D159" s="11">
        <v>44575</v>
      </c>
      <c r="E159" s="5">
        <f ca="1">+_xlfn.DAYS(TODAY(),D159)/365.25</f>
        <v>3.1430527036276521</v>
      </c>
      <c r="F159" s="6"/>
      <c r="G159" s="6" t="s">
        <v>99</v>
      </c>
      <c r="H159" s="12" t="s">
        <v>393</v>
      </c>
      <c r="I159" s="6" t="s">
        <v>387</v>
      </c>
    </row>
    <row r="160" spans="1:9" x14ac:dyDescent="0.25">
      <c r="A160" s="3" t="s">
        <v>381</v>
      </c>
      <c r="B160" s="10" t="s">
        <v>382</v>
      </c>
      <c r="C160" s="3" t="s">
        <v>394</v>
      </c>
      <c r="D160" s="11">
        <v>44588</v>
      </c>
      <c r="E160" s="5">
        <f ca="1">+_xlfn.DAYS(TODAY(),D160)/365.25</f>
        <v>3.1074606433949348</v>
      </c>
      <c r="F160" s="6"/>
      <c r="G160" s="6" t="s">
        <v>99</v>
      </c>
      <c r="H160" s="12" t="s">
        <v>395</v>
      </c>
      <c r="I160" s="6" t="s">
        <v>387</v>
      </c>
    </row>
    <row r="161" spans="1:9" x14ac:dyDescent="0.25">
      <c r="A161" s="3" t="s">
        <v>381</v>
      </c>
      <c r="B161" s="3" t="s">
        <v>382</v>
      </c>
      <c r="C161" s="3" t="s">
        <v>396</v>
      </c>
      <c r="D161" s="4">
        <v>44959</v>
      </c>
      <c r="E161" s="5">
        <f ca="1">+_xlfn.DAYS(TODAY(),D161)/365.25</f>
        <v>2.0917180013689256</v>
      </c>
      <c r="F161" s="6"/>
      <c r="G161" s="6" t="s">
        <v>12</v>
      </c>
      <c r="H161" s="7" t="s">
        <v>397</v>
      </c>
      <c r="I161" s="9"/>
    </row>
    <row r="162" spans="1:9" x14ac:dyDescent="0.25">
      <c r="A162" s="10" t="s">
        <v>381</v>
      </c>
      <c r="B162" s="10" t="s">
        <v>398</v>
      </c>
      <c r="C162" s="3" t="s">
        <v>399</v>
      </c>
      <c r="D162" s="11">
        <v>42819</v>
      </c>
      <c r="E162" s="5">
        <f ca="1">+_xlfn.DAYS(TODAY(),D162)/365.25</f>
        <v>7.9507186858316219</v>
      </c>
      <c r="F162" s="6"/>
      <c r="G162" s="6" t="s">
        <v>99</v>
      </c>
      <c r="H162" s="7" t="s">
        <v>400</v>
      </c>
      <c r="I162" s="6" t="s">
        <v>401</v>
      </c>
    </row>
    <row r="163" spans="1:9" x14ac:dyDescent="0.25">
      <c r="A163" s="3" t="s">
        <v>402</v>
      </c>
      <c r="B163" s="3" t="s">
        <v>331</v>
      </c>
      <c r="C163" s="3" t="s">
        <v>403</v>
      </c>
      <c r="D163" s="4">
        <v>44586</v>
      </c>
      <c r="E163" s="5">
        <f ca="1">+_xlfn.DAYS(TODAY(),D163)/365.25</f>
        <v>3.1129363449691994</v>
      </c>
      <c r="F163" s="6"/>
      <c r="G163" s="6" t="s">
        <v>404</v>
      </c>
      <c r="H163" s="7" t="s">
        <v>405</v>
      </c>
      <c r="I163" s="6" t="s">
        <v>406</v>
      </c>
    </row>
    <row r="164" spans="1:9" x14ac:dyDescent="0.25">
      <c r="A164" s="3" t="s">
        <v>402</v>
      </c>
      <c r="B164" s="3" t="s">
        <v>407</v>
      </c>
      <c r="C164" s="3" t="s">
        <v>408</v>
      </c>
      <c r="D164" s="4">
        <v>41769</v>
      </c>
      <c r="E164" s="5">
        <f ca="1">+_xlfn.DAYS(TODAY(),D164)/365.25</f>
        <v>10.825462012320328</v>
      </c>
      <c r="F164" s="6"/>
      <c r="G164" s="6" t="s">
        <v>147</v>
      </c>
      <c r="H164" s="8" t="s">
        <v>409</v>
      </c>
      <c r="I164" s="6" t="s">
        <v>410</v>
      </c>
    </row>
    <row r="165" spans="1:9" x14ac:dyDescent="0.25">
      <c r="A165" s="15" t="s">
        <v>402</v>
      </c>
      <c r="B165" s="15" t="s">
        <v>407</v>
      </c>
      <c r="C165" s="3" t="s">
        <v>411</v>
      </c>
      <c r="D165" s="16">
        <v>41779</v>
      </c>
      <c r="E165" s="5">
        <f ca="1">+_xlfn.DAYS(TODAY(),D165)/365.25</f>
        <v>10.798083504449007</v>
      </c>
      <c r="F165" s="6"/>
      <c r="G165" s="6" t="s">
        <v>91</v>
      </c>
      <c r="H165" s="8" t="s">
        <v>412</v>
      </c>
      <c r="I165" s="6" t="s">
        <v>413</v>
      </c>
    </row>
    <row r="166" spans="1:9" x14ac:dyDescent="0.25">
      <c r="A166" s="3" t="s">
        <v>402</v>
      </c>
      <c r="B166" s="3" t="s">
        <v>414</v>
      </c>
      <c r="C166" s="3" t="s">
        <v>415</v>
      </c>
      <c r="D166" s="4">
        <v>41956</v>
      </c>
      <c r="E166" s="5">
        <f ca="1">+_xlfn.DAYS(TODAY(),D166)/365.25</f>
        <v>10.313483915126625</v>
      </c>
      <c r="F166" s="6"/>
      <c r="G166" s="6" t="s">
        <v>416</v>
      </c>
      <c r="H166" s="8" t="s">
        <v>417</v>
      </c>
      <c r="I166" s="6" t="s">
        <v>418</v>
      </c>
    </row>
    <row r="167" spans="1:9" x14ac:dyDescent="0.25">
      <c r="A167" s="15" t="s">
        <v>402</v>
      </c>
      <c r="B167" s="15" t="s">
        <v>419</v>
      </c>
      <c r="C167" s="3" t="s">
        <v>420</v>
      </c>
      <c r="D167" s="4">
        <v>41890</v>
      </c>
      <c r="E167" s="5">
        <f ca="1">+_xlfn.DAYS(TODAY(),D167)/365.25</f>
        <v>10.494182067077345</v>
      </c>
      <c r="F167" s="6"/>
      <c r="G167" s="6" t="s">
        <v>416</v>
      </c>
      <c r="H167" s="8" t="s">
        <v>421</v>
      </c>
      <c r="I167" s="9"/>
    </row>
    <row r="168" spans="1:9" x14ac:dyDescent="0.25">
      <c r="A168" s="3" t="s">
        <v>402</v>
      </c>
      <c r="B168" s="3" t="s">
        <v>422</v>
      </c>
      <c r="C168" s="3" t="s">
        <v>423</v>
      </c>
      <c r="D168" s="4">
        <v>41690</v>
      </c>
      <c r="E168" s="5">
        <f ca="1">+_xlfn.DAYS(TODAY(),D168)/365.25</f>
        <v>11.041752224503764</v>
      </c>
      <c r="F168" s="6"/>
      <c r="G168" s="6" t="s">
        <v>12</v>
      </c>
      <c r="H168" s="8" t="s">
        <v>424</v>
      </c>
      <c r="I168" s="6" t="s">
        <v>425</v>
      </c>
    </row>
    <row r="169" spans="1:9" x14ac:dyDescent="0.25">
      <c r="A169" s="3" t="s">
        <v>402</v>
      </c>
      <c r="B169" s="3" t="s">
        <v>422</v>
      </c>
      <c r="C169" s="3" t="s">
        <v>426</v>
      </c>
      <c r="D169" s="4">
        <v>41953</v>
      </c>
      <c r="E169" s="5">
        <f ca="1">+_xlfn.DAYS(TODAY(),D169)/365.25</f>
        <v>10.321697467488022</v>
      </c>
      <c r="F169" s="6"/>
      <c r="G169" s="6" t="s">
        <v>12</v>
      </c>
      <c r="H169" s="8" t="s">
        <v>427</v>
      </c>
      <c r="I169" s="9"/>
    </row>
    <row r="170" spans="1:9" x14ac:dyDescent="0.25">
      <c r="A170" s="3" t="s">
        <v>402</v>
      </c>
      <c r="B170" s="3" t="s">
        <v>422</v>
      </c>
      <c r="C170" s="3" t="s">
        <v>428</v>
      </c>
      <c r="D170" s="4">
        <v>42137</v>
      </c>
      <c r="E170" s="5">
        <f ca="1">+_xlfn.DAYS(TODAY(),D170)/365.25</f>
        <v>9.8179329226557144</v>
      </c>
      <c r="F170" s="6"/>
      <c r="G170" s="6" t="s">
        <v>12</v>
      </c>
      <c r="H170" s="8" t="s">
        <v>429</v>
      </c>
      <c r="I170" s="6" t="s">
        <v>425</v>
      </c>
    </row>
    <row r="171" spans="1:9" x14ac:dyDescent="0.25">
      <c r="A171" s="3" t="s">
        <v>402</v>
      </c>
      <c r="B171" s="3" t="s">
        <v>422</v>
      </c>
      <c r="C171" s="3" t="s">
        <v>430</v>
      </c>
      <c r="D171" s="4">
        <v>42248</v>
      </c>
      <c r="E171" s="5">
        <f ca="1">+_xlfn.DAYS(TODAY(),D171)/365.25</f>
        <v>9.5140314852840522</v>
      </c>
      <c r="F171" s="6"/>
      <c r="G171" s="6" t="s">
        <v>12</v>
      </c>
      <c r="H171" s="8" t="s">
        <v>431</v>
      </c>
      <c r="I171" s="6" t="s">
        <v>425</v>
      </c>
    </row>
    <row r="172" spans="1:9" x14ac:dyDescent="0.25">
      <c r="A172" s="3" t="s">
        <v>402</v>
      </c>
      <c r="B172" s="3" t="s">
        <v>422</v>
      </c>
      <c r="C172" s="3" t="s">
        <v>432</v>
      </c>
      <c r="D172" s="4">
        <v>42416</v>
      </c>
      <c r="E172" s="5">
        <f ca="1">+_xlfn.DAYS(TODAY(),D172)/365.25</f>
        <v>9.0540725530458595</v>
      </c>
      <c r="F172" s="6"/>
      <c r="G172" s="6" t="s">
        <v>12</v>
      </c>
      <c r="H172" s="8" t="s">
        <v>433</v>
      </c>
      <c r="I172" s="6" t="s">
        <v>425</v>
      </c>
    </row>
    <row r="173" spans="1:9" x14ac:dyDescent="0.25">
      <c r="A173" s="3" t="s">
        <v>402</v>
      </c>
      <c r="B173" s="3" t="s">
        <v>434</v>
      </c>
      <c r="C173" s="3" t="s">
        <v>435</v>
      </c>
      <c r="D173" s="4">
        <v>43592</v>
      </c>
      <c r="E173" s="5">
        <f ca="1">+_xlfn.DAYS(TODAY(),D173)/365.25</f>
        <v>5.8343600273785077</v>
      </c>
      <c r="F173" s="6"/>
      <c r="G173" s="6" t="s">
        <v>12</v>
      </c>
      <c r="H173" s="12" t="s">
        <v>436</v>
      </c>
      <c r="I173" s="9"/>
    </row>
    <row r="174" spans="1:9" x14ac:dyDescent="0.25">
      <c r="A174" s="3" t="s">
        <v>402</v>
      </c>
      <c r="B174" s="3" t="s">
        <v>434</v>
      </c>
      <c r="C174" s="3" t="s">
        <v>437</v>
      </c>
      <c r="D174" s="4">
        <v>43826</v>
      </c>
      <c r="E174" s="5">
        <f ca="1">+_xlfn.DAYS(TODAY(),D174)/365.25</f>
        <v>5.1937029431895958</v>
      </c>
      <c r="F174" s="6"/>
      <c r="G174" s="6" t="s">
        <v>12</v>
      </c>
      <c r="H174" s="7" t="s">
        <v>438</v>
      </c>
      <c r="I174" s="6" t="s">
        <v>439</v>
      </c>
    </row>
    <row r="175" spans="1:9" x14ac:dyDescent="0.25">
      <c r="A175" s="3" t="s">
        <v>440</v>
      </c>
      <c r="B175" s="3" t="s">
        <v>441</v>
      </c>
      <c r="C175" s="3" t="s">
        <v>442</v>
      </c>
      <c r="D175" s="4">
        <v>42734</v>
      </c>
      <c r="E175" s="5">
        <f ca="1">+_xlfn.DAYS(TODAY(),D175)/365.25</f>
        <v>8.1834360027378512</v>
      </c>
      <c r="F175" s="6"/>
      <c r="G175" s="6" t="s">
        <v>12</v>
      </c>
      <c r="H175" s="8" t="s">
        <v>443</v>
      </c>
      <c r="I175" s="6" t="s">
        <v>444</v>
      </c>
    </row>
    <row r="176" spans="1:9" x14ac:dyDescent="0.25">
      <c r="A176" s="3" t="s">
        <v>445</v>
      </c>
      <c r="B176" s="3">
        <v>2</v>
      </c>
      <c r="C176" s="3" t="s">
        <v>446</v>
      </c>
      <c r="D176" s="4">
        <v>42404</v>
      </c>
      <c r="E176" s="5">
        <f ca="1">+_xlfn.DAYS(TODAY(),D176)/365.25</f>
        <v>9.0869267624914443</v>
      </c>
      <c r="F176" s="6"/>
      <c r="G176" s="6" t="s">
        <v>12</v>
      </c>
      <c r="H176" s="8" t="s">
        <v>447</v>
      </c>
      <c r="I176" s="6" t="s">
        <v>448</v>
      </c>
    </row>
    <row r="177" spans="1:9" x14ac:dyDescent="0.25">
      <c r="A177" s="3" t="s">
        <v>445</v>
      </c>
      <c r="B177" s="3">
        <v>3</v>
      </c>
      <c r="C177" s="3" t="s">
        <v>449</v>
      </c>
      <c r="D177" s="4">
        <v>41087</v>
      </c>
      <c r="E177" s="5">
        <f ca="1">+_xlfn.DAYS(TODAY(),D177)/365.25</f>
        <v>12.692676249144421</v>
      </c>
      <c r="F177" s="6"/>
      <c r="G177" s="6" t="s">
        <v>12</v>
      </c>
      <c r="H177" s="8" t="s">
        <v>450</v>
      </c>
      <c r="I177" s="6" t="s">
        <v>451</v>
      </c>
    </row>
    <row r="178" spans="1:9" x14ac:dyDescent="0.25">
      <c r="A178" s="3" t="s">
        <v>445</v>
      </c>
      <c r="B178" s="3">
        <v>3</v>
      </c>
      <c r="C178" s="3" t="s">
        <v>452</v>
      </c>
      <c r="D178" s="4">
        <v>42086</v>
      </c>
      <c r="E178" s="5">
        <f ca="1">+_xlfn.DAYS(TODAY(),D178)/365.25</f>
        <v>9.9575633127994525</v>
      </c>
      <c r="F178" s="6"/>
      <c r="G178" s="6" t="s">
        <v>12</v>
      </c>
      <c r="H178" s="8" t="s">
        <v>453</v>
      </c>
      <c r="I178" s="6" t="s">
        <v>454</v>
      </c>
    </row>
    <row r="179" spans="1:9" x14ac:dyDescent="0.25">
      <c r="A179" s="3" t="s">
        <v>445</v>
      </c>
      <c r="B179" s="3">
        <v>3</v>
      </c>
      <c r="C179" s="3" t="s">
        <v>455</v>
      </c>
      <c r="D179" s="4">
        <v>42605</v>
      </c>
      <c r="E179" s="5">
        <f ca="1">+_xlfn.DAYS(TODAY(),D179)/365.25</f>
        <v>8.5366187542778924</v>
      </c>
      <c r="F179" s="6"/>
      <c r="G179" s="6" t="s">
        <v>12</v>
      </c>
      <c r="H179" s="8" t="s">
        <v>456</v>
      </c>
      <c r="I179" s="6" t="s">
        <v>457</v>
      </c>
    </row>
    <row r="180" spans="1:9" x14ac:dyDescent="0.25">
      <c r="A180" s="3" t="s">
        <v>445</v>
      </c>
      <c r="B180" s="3">
        <v>6</v>
      </c>
      <c r="C180" s="3" t="s">
        <v>458</v>
      </c>
      <c r="D180" s="4">
        <v>42821</v>
      </c>
      <c r="E180" s="5">
        <f ca="1">+_xlfn.DAYS(TODAY(),D180)/365.25</f>
        <v>7.9452429842573578</v>
      </c>
      <c r="F180" s="6"/>
      <c r="G180" s="6" t="s">
        <v>12</v>
      </c>
      <c r="H180" s="7" t="s">
        <v>459</v>
      </c>
      <c r="I180" s="6" t="s">
        <v>460</v>
      </c>
    </row>
    <row r="181" spans="1:9" x14ac:dyDescent="0.25">
      <c r="A181" s="23" t="s">
        <v>461</v>
      </c>
      <c r="B181" s="23" t="s">
        <v>462</v>
      </c>
      <c r="C181" s="23" t="s">
        <v>463</v>
      </c>
      <c r="D181" s="20">
        <v>41278</v>
      </c>
      <c r="E181" s="5">
        <f ca="1">+_xlfn.DAYS(TODAY(),D181)/365.25</f>
        <v>12.16974674880219</v>
      </c>
      <c r="F181" s="21"/>
      <c r="G181" s="22" t="s">
        <v>404</v>
      </c>
      <c r="H181" s="24"/>
      <c r="I181" s="24"/>
    </row>
    <row r="182" spans="1:9" x14ac:dyDescent="0.25">
      <c r="A182" s="3" t="s">
        <v>464</v>
      </c>
      <c r="B182" s="3">
        <v>5</v>
      </c>
      <c r="C182" s="3" t="s">
        <v>465</v>
      </c>
      <c r="D182" s="4">
        <v>44949</v>
      </c>
      <c r="E182" s="5">
        <f ca="1">+_xlfn.DAYS(TODAY(),D182)/365.25</f>
        <v>2.1190965092402463</v>
      </c>
      <c r="F182" s="6"/>
      <c r="G182" s="6" t="s">
        <v>147</v>
      </c>
      <c r="H182" s="7" t="s">
        <v>466</v>
      </c>
      <c r="I182" s="6" t="s">
        <v>467</v>
      </c>
    </row>
    <row r="183" spans="1:9" x14ac:dyDescent="0.25">
      <c r="A183" s="15" t="s">
        <v>464</v>
      </c>
      <c r="B183" s="10">
        <v>5</v>
      </c>
      <c r="C183" s="10" t="s">
        <v>468</v>
      </c>
      <c r="D183" s="11">
        <v>45589</v>
      </c>
      <c r="E183" s="5">
        <f ca="1">+_xlfn.DAYS(TODAY(),D183)/365.25</f>
        <v>0.36687200547570159</v>
      </c>
      <c r="F183" s="6"/>
      <c r="G183" s="6" t="s">
        <v>12</v>
      </c>
      <c r="H183" s="7" t="s">
        <v>469</v>
      </c>
      <c r="I183" s="9"/>
    </row>
    <row r="184" spans="1:9" x14ac:dyDescent="0.25">
      <c r="A184" s="10" t="s">
        <v>464</v>
      </c>
      <c r="B184" s="10">
        <v>5</v>
      </c>
      <c r="C184" s="10" t="s">
        <v>470</v>
      </c>
      <c r="D184" s="11">
        <v>45616</v>
      </c>
      <c r="E184" s="5">
        <f ca="1">+_xlfn.DAYS(TODAY(),D184)/365.25</f>
        <v>0.29295003422313481</v>
      </c>
      <c r="F184" s="6"/>
      <c r="G184" s="6" t="s">
        <v>12</v>
      </c>
      <c r="H184" s="7" t="s">
        <v>471</v>
      </c>
      <c r="I184" s="6" t="s">
        <v>467</v>
      </c>
    </row>
    <row r="185" spans="1:9" x14ac:dyDescent="0.25">
      <c r="A185" s="15" t="s">
        <v>464</v>
      </c>
      <c r="B185" s="15" t="s">
        <v>472</v>
      </c>
      <c r="C185" s="3" t="s">
        <v>473</v>
      </c>
      <c r="D185" s="16">
        <v>45441</v>
      </c>
      <c r="E185" s="5">
        <f ca="1">+_xlfn.DAYS(TODAY(),D185)/365.25</f>
        <v>0.77207392197125257</v>
      </c>
      <c r="F185" s="6"/>
      <c r="G185" s="6" t="s">
        <v>12</v>
      </c>
      <c r="H185" s="7" t="s">
        <v>474</v>
      </c>
      <c r="I185" s="6" t="s">
        <v>475</v>
      </c>
    </row>
    <row r="186" spans="1:9" x14ac:dyDescent="0.25">
      <c r="A186" s="10" t="s">
        <v>464</v>
      </c>
      <c r="B186" s="10" t="s">
        <v>472</v>
      </c>
      <c r="C186" s="10" t="s">
        <v>476</v>
      </c>
      <c r="D186" s="11">
        <v>45625</v>
      </c>
      <c r="E186" s="5">
        <f ca="1">+_xlfn.DAYS(TODAY(),D186)/365.25</f>
        <v>0.26830937713894593</v>
      </c>
      <c r="F186" s="6"/>
      <c r="G186" s="6" t="s">
        <v>12</v>
      </c>
      <c r="H186" s="7" t="s">
        <v>477</v>
      </c>
      <c r="I186" s="6" t="s">
        <v>478</v>
      </c>
    </row>
    <row r="187" spans="1:9" x14ac:dyDescent="0.25">
      <c r="A187" s="10" t="s">
        <v>464</v>
      </c>
      <c r="B187" s="10" t="s">
        <v>472</v>
      </c>
      <c r="C187" s="10" t="s">
        <v>479</v>
      </c>
      <c r="D187" s="25">
        <v>45680</v>
      </c>
      <c r="E187" s="5">
        <f ca="1">+_xlfn.DAYS(TODAY(),D187)/365.25</f>
        <v>0.11772758384668036</v>
      </c>
      <c r="F187" s="6"/>
      <c r="G187" s="6" t="s">
        <v>12</v>
      </c>
      <c r="H187" s="8" t="s">
        <v>475</v>
      </c>
      <c r="I187" s="6" t="s">
        <v>475</v>
      </c>
    </row>
    <row r="188" spans="1:9" x14ac:dyDescent="0.25">
      <c r="A188" s="3" t="s">
        <v>480</v>
      </c>
      <c r="B188" s="3" t="s">
        <v>481</v>
      </c>
      <c r="C188" s="3" t="s">
        <v>482</v>
      </c>
      <c r="D188" s="4">
        <v>41459</v>
      </c>
      <c r="E188" s="5">
        <f ca="1">+_xlfn.DAYS(TODAY(),D188)/365.25</f>
        <v>11.674195756331279</v>
      </c>
      <c r="F188" s="6"/>
      <c r="G188" s="6" t="s">
        <v>27</v>
      </c>
      <c r="H188" s="8" t="s">
        <v>483</v>
      </c>
      <c r="I188" s="6" t="s">
        <v>484</v>
      </c>
    </row>
    <row r="189" spans="1:9" x14ac:dyDescent="0.25">
      <c r="A189" s="3" t="s">
        <v>480</v>
      </c>
      <c r="B189" s="3" t="s">
        <v>485</v>
      </c>
      <c r="C189" s="3" t="s">
        <v>486</v>
      </c>
      <c r="D189" s="4">
        <v>42986</v>
      </c>
      <c r="E189" s="5">
        <f ca="1">+_xlfn.DAYS(TODAY(),D189)/365.25</f>
        <v>7.4934976043805612</v>
      </c>
      <c r="F189" s="6"/>
      <c r="G189" s="6" t="s">
        <v>30</v>
      </c>
      <c r="H189" s="7" t="s">
        <v>487</v>
      </c>
      <c r="I189" s="6" t="s">
        <v>488</v>
      </c>
    </row>
    <row r="190" spans="1:9" x14ac:dyDescent="0.25">
      <c r="A190" s="3" t="s">
        <v>489</v>
      </c>
      <c r="B190" s="3">
        <v>301</v>
      </c>
      <c r="C190" s="3" t="s">
        <v>490</v>
      </c>
      <c r="D190" s="4">
        <v>41593</v>
      </c>
      <c r="E190" s="5">
        <f ca="1">+_xlfn.DAYS(TODAY(),D190)/365.25</f>
        <v>11.307323750855579</v>
      </c>
      <c r="F190" s="6"/>
      <c r="G190" s="6" t="s">
        <v>12</v>
      </c>
      <c r="H190" s="8" t="s">
        <v>491</v>
      </c>
      <c r="I190" s="6" t="s">
        <v>492</v>
      </c>
    </row>
    <row r="191" spans="1:9" x14ac:dyDescent="0.25">
      <c r="A191" s="3" t="s">
        <v>489</v>
      </c>
      <c r="B191" s="3">
        <v>301</v>
      </c>
      <c r="C191" s="3" t="s">
        <v>493</v>
      </c>
      <c r="D191" s="4">
        <v>41710</v>
      </c>
      <c r="E191" s="5">
        <f ca="1">+_xlfn.DAYS(TODAY(),D191)/365.25</f>
        <v>10.986995208761122</v>
      </c>
      <c r="F191" s="6"/>
      <c r="G191" s="6" t="s">
        <v>494</v>
      </c>
      <c r="H191" s="8" t="s">
        <v>495</v>
      </c>
      <c r="I191" s="6" t="s">
        <v>492</v>
      </c>
    </row>
    <row r="192" spans="1:9" x14ac:dyDescent="0.25">
      <c r="A192" s="3" t="s">
        <v>489</v>
      </c>
      <c r="B192" s="3">
        <v>508</v>
      </c>
      <c r="C192" s="3" t="s">
        <v>496</v>
      </c>
      <c r="D192" s="4">
        <v>40725</v>
      </c>
      <c r="E192" s="5">
        <f ca="1">+_xlfn.DAYS(TODAY(),D192)/365.25</f>
        <v>13.683778234086242</v>
      </c>
      <c r="F192" s="6"/>
      <c r="G192" s="6" t="s">
        <v>27</v>
      </c>
      <c r="H192" s="8" t="s">
        <v>497</v>
      </c>
      <c r="I192" s="9"/>
    </row>
    <row r="193" spans="1:9" x14ac:dyDescent="0.25">
      <c r="A193" s="3" t="s">
        <v>489</v>
      </c>
      <c r="B193" s="3" t="s">
        <v>498</v>
      </c>
      <c r="C193" s="3" t="s">
        <v>499</v>
      </c>
      <c r="D193" s="4">
        <v>41424</v>
      </c>
      <c r="E193" s="5">
        <f ca="1">+_xlfn.DAYS(TODAY(),D193)/365.25</f>
        <v>11.770020533880903</v>
      </c>
      <c r="F193" s="6"/>
      <c r="G193" s="6" t="s">
        <v>27</v>
      </c>
      <c r="H193" s="8" t="s">
        <v>500</v>
      </c>
      <c r="I193" s="6" t="s">
        <v>501</v>
      </c>
    </row>
    <row r="194" spans="1:9" x14ac:dyDescent="0.25">
      <c r="A194" s="3" t="s">
        <v>489</v>
      </c>
      <c r="B194" s="3" t="s">
        <v>502</v>
      </c>
      <c r="C194" s="3" t="s">
        <v>503</v>
      </c>
      <c r="D194" s="4">
        <v>42164</v>
      </c>
      <c r="E194" s="5">
        <f ca="1">+_xlfn.DAYS(TODAY(),D194)/365.25</f>
        <v>9.7440109514031477</v>
      </c>
      <c r="F194" s="6"/>
      <c r="G194" s="6" t="s">
        <v>147</v>
      </c>
      <c r="H194" s="8" t="s">
        <v>504</v>
      </c>
      <c r="I194" s="6" t="s">
        <v>43</v>
      </c>
    </row>
    <row r="195" spans="1:9" x14ac:dyDescent="0.25">
      <c r="A195" s="3" t="s">
        <v>505</v>
      </c>
      <c r="B195" s="3" t="s">
        <v>506</v>
      </c>
      <c r="C195" s="3" t="s">
        <v>507</v>
      </c>
      <c r="D195" s="4">
        <v>40305</v>
      </c>
      <c r="E195" s="5">
        <f ca="1">+_xlfn.DAYS(TODAY(),D195)/365.25</f>
        <v>14.833675564681725</v>
      </c>
      <c r="F195" s="6"/>
      <c r="G195" s="6" t="s">
        <v>12</v>
      </c>
      <c r="H195" s="8" t="s">
        <v>508</v>
      </c>
      <c r="I195" s="6" t="s">
        <v>509</v>
      </c>
    </row>
    <row r="196" spans="1:9" x14ac:dyDescent="0.25">
      <c r="A196" s="3" t="s">
        <v>505</v>
      </c>
      <c r="B196" s="3" t="s">
        <v>510</v>
      </c>
      <c r="C196" s="3" t="s">
        <v>511</v>
      </c>
      <c r="D196" s="4">
        <v>43192</v>
      </c>
      <c r="E196" s="5">
        <f ca="1">+_xlfn.DAYS(TODAY(),D196)/365.25</f>
        <v>6.9295003422313481</v>
      </c>
      <c r="F196" s="6"/>
      <c r="G196" s="6" t="s">
        <v>12</v>
      </c>
      <c r="H196" s="7" t="s">
        <v>512</v>
      </c>
      <c r="I196" s="6" t="s">
        <v>513</v>
      </c>
    </row>
    <row r="197" spans="1:9" x14ac:dyDescent="0.25">
      <c r="A197" s="3" t="s">
        <v>505</v>
      </c>
      <c r="B197" s="3" t="s">
        <v>510</v>
      </c>
      <c r="C197" s="3" t="s">
        <v>514</v>
      </c>
      <c r="D197" s="4">
        <v>43214</v>
      </c>
      <c r="E197" s="5">
        <f ca="1">+_xlfn.DAYS(TODAY(),D197)/365.25</f>
        <v>6.8692676249144418</v>
      </c>
      <c r="F197" s="6"/>
      <c r="G197" s="6" t="s">
        <v>12</v>
      </c>
      <c r="H197" s="12" t="s">
        <v>515</v>
      </c>
      <c r="I197" s="9"/>
    </row>
    <row r="198" spans="1:9" x14ac:dyDescent="0.25">
      <c r="A198" s="3" t="s">
        <v>505</v>
      </c>
      <c r="B198" s="3" t="s">
        <v>516</v>
      </c>
      <c r="C198" s="3" t="s">
        <v>517</v>
      </c>
      <c r="D198" s="4">
        <v>42410</v>
      </c>
      <c r="E198" s="5">
        <f ca="1">+_xlfn.DAYS(TODAY(),D198)/365.25</f>
        <v>9.0704996577686519</v>
      </c>
      <c r="F198" s="6"/>
      <c r="G198" s="6" t="s">
        <v>12</v>
      </c>
      <c r="H198" s="8" t="s">
        <v>518</v>
      </c>
      <c r="I198" s="6" t="s">
        <v>519</v>
      </c>
    </row>
    <row r="199" spans="1:9" x14ac:dyDescent="0.25">
      <c r="A199" s="3" t="s">
        <v>505</v>
      </c>
      <c r="B199" s="3" t="s">
        <v>516</v>
      </c>
      <c r="C199" s="3" t="s">
        <v>520</v>
      </c>
      <c r="D199" s="4">
        <v>42410</v>
      </c>
      <c r="E199" s="5">
        <f ca="1">+_xlfn.DAYS(TODAY(),D199)/365.25</f>
        <v>9.0704996577686519</v>
      </c>
      <c r="F199" s="6"/>
      <c r="G199" s="6" t="s">
        <v>12</v>
      </c>
      <c r="H199" s="8" t="s">
        <v>521</v>
      </c>
      <c r="I199" s="6" t="s">
        <v>522</v>
      </c>
    </row>
    <row r="200" spans="1:9" x14ac:dyDescent="0.25">
      <c r="A200" s="3" t="s">
        <v>505</v>
      </c>
      <c r="B200" s="3" t="s">
        <v>516</v>
      </c>
      <c r="C200" s="3" t="s">
        <v>523</v>
      </c>
      <c r="D200" s="4">
        <v>42410</v>
      </c>
      <c r="E200" s="5">
        <f ca="1">+_xlfn.DAYS(TODAY(),D200)/365.25</f>
        <v>9.0704996577686519</v>
      </c>
      <c r="F200" s="6"/>
      <c r="G200" s="6" t="s">
        <v>12</v>
      </c>
      <c r="H200" s="8" t="s">
        <v>524</v>
      </c>
      <c r="I200" s="6" t="s">
        <v>519</v>
      </c>
    </row>
    <row r="201" spans="1:9" x14ac:dyDescent="0.25">
      <c r="A201" s="3" t="s">
        <v>505</v>
      </c>
      <c r="B201" s="3" t="s">
        <v>516</v>
      </c>
      <c r="C201" s="3" t="s">
        <v>525</v>
      </c>
      <c r="D201" s="4">
        <v>43592</v>
      </c>
      <c r="E201" s="5">
        <f ca="1">+_xlfn.DAYS(TODAY(),D201)/365.25</f>
        <v>5.8343600273785077</v>
      </c>
      <c r="F201" s="6"/>
      <c r="G201" s="6" t="s">
        <v>12</v>
      </c>
      <c r="H201" s="7" t="s">
        <v>526</v>
      </c>
      <c r="I201" s="6" t="s">
        <v>527</v>
      </c>
    </row>
    <row r="202" spans="1:9" x14ac:dyDescent="0.25">
      <c r="A202" s="3" t="s">
        <v>505</v>
      </c>
      <c r="B202" s="3" t="s">
        <v>516</v>
      </c>
      <c r="C202" s="3" t="s">
        <v>528</v>
      </c>
      <c r="D202" s="4">
        <v>43782</v>
      </c>
      <c r="E202" s="5">
        <f ca="1">+_xlfn.DAYS(TODAY(),D202)/365.25</f>
        <v>5.3141683778234086</v>
      </c>
      <c r="F202" s="6"/>
      <c r="G202" s="6" t="s">
        <v>12</v>
      </c>
      <c r="H202" s="7" t="s">
        <v>529</v>
      </c>
      <c r="I202" s="6" t="s">
        <v>527</v>
      </c>
    </row>
    <row r="203" spans="1:9" x14ac:dyDescent="0.25">
      <c r="A203" s="3" t="s">
        <v>505</v>
      </c>
      <c r="B203" s="3" t="s">
        <v>516</v>
      </c>
      <c r="C203" s="3" t="s">
        <v>530</v>
      </c>
      <c r="D203" s="4">
        <v>44743</v>
      </c>
      <c r="E203" s="5">
        <f ca="1">+_xlfn.DAYS(TODAY(),D203)/365.25</f>
        <v>2.6830937713894594</v>
      </c>
      <c r="F203" s="6"/>
      <c r="G203" s="6" t="s">
        <v>12</v>
      </c>
      <c r="H203" s="12" t="s">
        <v>531</v>
      </c>
      <c r="I203" s="6" t="s">
        <v>527</v>
      </c>
    </row>
    <row r="204" spans="1:9" x14ac:dyDescent="0.25">
      <c r="A204" s="3" t="s">
        <v>505</v>
      </c>
      <c r="B204" s="3" t="s">
        <v>516</v>
      </c>
      <c r="C204" s="3" t="s">
        <v>532</v>
      </c>
      <c r="D204" s="4">
        <v>44743</v>
      </c>
      <c r="E204" s="5">
        <f ca="1">+_xlfn.DAYS(TODAY(),D204)/365.25</f>
        <v>2.6830937713894594</v>
      </c>
      <c r="F204" s="6"/>
      <c r="G204" s="6" t="s">
        <v>12</v>
      </c>
      <c r="H204" s="12" t="s">
        <v>531</v>
      </c>
      <c r="I204" s="9"/>
    </row>
    <row r="205" spans="1:9" x14ac:dyDescent="0.25">
      <c r="A205" s="3" t="s">
        <v>505</v>
      </c>
      <c r="B205" s="3" t="s">
        <v>533</v>
      </c>
      <c r="C205" s="3" t="s">
        <v>534</v>
      </c>
      <c r="D205" s="4">
        <v>43990</v>
      </c>
      <c r="E205" s="5">
        <f ca="1">+_xlfn.DAYS(TODAY(),D205)/365.25</f>
        <v>4.7446954140999313</v>
      </c>
      <c r="F205" s="6"/>
      <c r="G205" s="6" t="s">
        <v>535</v>
      </c>
      <c r="H205" s="7" t="s">
        <v>536</v>
      </c>
      <c r="I205" s="6" t="s">
        <v>537</v>
      </c>
    </row>
    <row r="206" spans="1:9" x14ac:dyDescent="0.25">
      <c r="A206" s="3" t="s">
        <v>538</v>
      </c>
      <c r="B206" s="3" t="s">
        <v>539</v>
      </c>
      <c r="C206" s="3" t="s">
        <v>540</v>
      </c>
      <c r="D206" s="4">
        <v>41674</v>
      </c>
      <c r="E206" s="5">
        <f ca="1">+_xlfn.DAYS(TODAY(),D206)/365.25</f>
        <v>11.085557837097879</v>
      </c>
      <c r="F206" s="6"/>
      <c r="G206" s="6" t="s">
        <v>27</v>
      </c>
      <c r="H206" s="8" t="s">
        <v>541</v>
      </c>
      <c r="I206" s="6" t="s">
        <v>542</v>
      </c>
    </row>
    <row r="207" spans="1:9" x14ac:dyDescent="0.25">
      <c r="A207" s="3" t="s">
        <v>538</v>
      </c>
      <c r="B207" s="3" t="s">
        <v>539</v>
      </c>
      <c r="C207" s="3" t="s">
        <v>543</v>
      </c>
      <c r="D207" s="4">
        <v>41674</v>
      </c>
      <c r="E207" s="5">
        <f ca="1">+_xlfn.DAYS(TODAY(),D207)/365.25</f>
        <v>11.085557837097879</v>
      </c>
      <c r="F207" s="6"/>
      <c r="G207" s="6" t="s">
        <v>12</v>
      </c>
      <c r="H207" s="8" t="s">
        <v>544</v>
      </c>
      <c r="I207" s="9"/>
    </row>
    <row r="208" spans="1:9" x14ac:dyDescent="0.25">
      <c r="A208" s="3" t="s">
        <v>538</v>
      </c>
      <c r="B208" s="3" t="s">
        <v>539</v>
      </c>
      <c r="C208" s="3" t="s">
        <v>545</v>
      </c>
      <c r="D208" s="4">
        <v>41674</v>
      </c>
      <c r="E208" s="5">
        <f ca="1">+_xlfn.DAYS(TODAY(),D208)/365.25</f>
        <v>11.085557837097879</v>
      </c>
      <c r="F208" s="6"/>
      <c r="G208" s="6" t="s">
        <v>12</v>
      </c>
      <c r="H208" s="8" t="s">
        <v>546</v>
      </c>
      <c r="I208" s="6" t="s">
        <v>542</v>
      </c>
    </row>
    <row r="209" spans="1:9" x14ac:dyDescent="0.25">
      <c r="A209" s="3" t="s">
        <v>538</v>
      </c>
      <c r="B209" s="3" t="s">
        <v>539</v>
      </c>
      <c r="C209" s="3" t="s">
        <v>547</v>
      </c>
      <c r="D209" s="4">
        <v>41674</v>
      </c>
      <c r="E209" s="5">
        <f ca="1">+_xlfn.DAYS(TODAY(),D209)/365.25</f>
        <v>11.085557837097879</v>
      </c>
      <c r="F209" s="6"/>
      <c r="G209" s="6" t="s">
        <v>27</v>
      </c>
      <c r="H209" s="8" t="s">
        <v>548</v>
      </c>
      <c r="I209" s="6" t="s">
        <v>542</v>
      </c>
    </row>
    <row r="210" spans="1:9" x14ac:dyDescent="0.25">
      <c r="A210" s="3" t="s">
        <v>538</v>
      </c>
      <c r="B210" s="3" t="s">
        <v>539</v>
      </c>
      <c r="C210" s="3" t="s">
        <v>549</v>
      </c>
      <c r="D210" s="4">
        <v>41674</v>
      </c>
      <c r="E210" s="5">
        <f ca="1">+_xlfn.DAYS(TODAY(),D210)/365.25</f>
        <v>11.085557837097879</v>
      </c>
      <c r="F210" s="6"/>
      <c r="G210" s="6" t="s">
        <v>27</v>
      </c>
      <c r="H210" s="8" t="s">
        <v>550</v>
      </c>
      <c r="I210" s="6" t="s">
        <v>542</v>
      </c>
    </row>
    <row r="211" spans="1:9" x14ac:dyDescent="0.25">
      <c r="A211" s="3" t="s">
        <v>538</v>
      </c>
      <c r="B211" s="3" t="s">
        <v>539</v>
      </c>
      <c r="C211" s="3" t="s">
        <v>551</v>
      </c>
      <c r="D211" s="4">
        <v>41698</v>
      </c>
      <c r="E211" s="5">
        <f ca="1">+_xlfn.DAYS(TODAY(),D211)/365.25</f>
        <v>11.019849418206707</v>
      </c>
      <c r="F211" s="6"/>
      <c r="G211" s="6" t="s">
        <v>494</v>
      </c>
      <c r="H211" s="8" t="s">
        <v>552</v>
      </c>
      <c r="I211" s="6" t="s">
        <v>542</v>
      </c>
    </row>
    <row r="212" spans="1:9" x14ac:dyDescent="0.25">
      <c r="A212" s="3" t="s">
        <v>538</v>
      </c>
      <c r="B212" s="3" t="s">
        <v>539</v>
      </c>
      <c r="C212" s="3" t="s">
        <v>553</v>
      </c>
      <c r="D212" s="4">
        <v>41698</v>
      </c>
      <c r="E212" s="5">
        <f ca="1">+_xlfn.DAYS(TODAY(),D212)/365.25</f>
        <v>11.019849418206707</v>
      </c>
      <c r="F212" s="6"/>
      <c r="G212" s="6" t="s">
        <v>494</v>
      </c>
      <c r="H212" s="8" t="s">
        <v>554</v>
      </c>
      <c r="I212" s="9"/>
    </row>
    <row r="213" spans="1:9" x14ac:dyDescent="0.25">
      <c r="A213" s="3" t="s">
        <v>538</v>
      </c>
      <c r="B213" s="3" t="s">
        <v>539</v>
      </c>
      <c r="C213" s="3" t="s">
        <v>555</v>
      </c>
      <c r="D213" s="4">
        <v>41725</v>
      </c>
      <c r="E213" s="5">
        <f ca="1">+_xlfn.DAYS(TODAY(),D213)/365.25</f>
        <v>10.945927446954141</v>
      </c>
      <c r="F213" s="6"/>
      <c r="G213" s="6" t="s">
        <v>556</v>
      </c>
      <c r="H213" s="9"/>
      <c r="I213" s="9"/>
    </row>
    <row r="214" spans="1:9" x14ac:dyDescent="0.25">
      <c r="A214" s="3" t="s">
        <v>538</v>
      </c>
      <c r="B214" s="3" t="s">
        <v>539</v>
      </c>
      <c r="C214" s="3" t="s">
        <v>557</v>
      </c>
      <c r="D214" s="4">
        <v>41725</v>
      </c>
      <c r="E214" s="5">
        <f ca="1">+_xlfn.DAYS(TODAY(),D214)/365.25</f>
        <v>10.945927446954141</v>
      </c>
      <c r="F214" s="6"/>
      <c r="G214" s="6" t="s">
        <v>12</v>
      </c>
      <c r="H214" s="8" t="s">
        <v>558</v>
      </c>
      <c r="I214" s="6" t="s">
        <v>542</v>
      </c>
    </row>
    <row r="215" spans="1:9" x14ac:dyDescent="0.25">
      <c r="A215" s="3" t="s">
        <v>538</v>
      </c>
      <c r="B215" s="3" t="s">
        <v>539</v>
      </c>
      <c r="C215" s="3" t="s">
        <v>559</v>
      </c>
      <c r="D215" s="4">
        <v>41736</v>
      </c>
      <c r="E215" s="5">
        <f ca="1">+_xlfn.DAYS(TODAY(),D215)/365.25</f>
        <v>10.915811088295689</v>
      </c>
      <c r="F215" s="6"/>
      <c r="G215" s="6" t="s">
        <v>12</v>
      </c>
      <c r="H215" s="8" t="s">
        <v>560</v>
      </c>
      <c r="I215" s="6" t="s">
        <v>542</v>
      </c>
    </row>
    <row r="216" spans="1:9" x14ac:dyDescent="0.25">
      <c r="A216" s="3" t="s">
        <v>538</v>
      </c>
      <c r="B216" s="3" t="s">
        <v>539</v>
      </c>
      <c r="C216" s="3" t="s">
        <v>561</v>
      </c>
      <c r="D216" s="4">
        <v>42248</v>
      </c>
      <c r="E216" s="5">
        <f ca="1">+_xlfn.DAYS(TODAY(),D216)/365.25</f>
        <v>9.5140314852840522</v>
      </c>
      <c r="F216" s="6"/>
      <c r="G216" s="6" t="s">
        <v>12</v>
      </c>
      <c r="H216" s="8" t="s">
        <v>562</v>
      </c>
      <c r="I216" s="6" t="s">
        <v>542</v>
      </c>
    </row>
    <row r="217" spans="1:9" x14ac:dyDescent="0.25">
      <c r="A217" s="3" t="s">
        <v>538</v>
      </c>
      <c r="B217" s="3" t="s">
        <v>539</v>
      </c>
      <c r="C217" s="3" t="s">
        <v>563</v>
      </c>
      <c r="D217" s="4">
        <v>42248</v>
      </c>
      <c r="E217" s="5">
        <f ca="1">+_xlfn.DAYS(TODAY(),D217)/365.25</f>
        <v>9.5140314852840522</v>
      </c>
      <c r="F217" s="6"/>
      <c r="G217" s="6" t="s">
        <v>12</v>
      </c>
      <c r="H217" s="8" t="s">
        <v>564</v>
      </c>
      <c r="I217" s="9"/>
    </row>
    <row r="218" spans="1:9" x14ac:dyDescent="0.25">
      <c r="A218" s="3" t="s">
        <v>538</v>
      </c>
      <c r="B218" s="3" t="s">
        <v>565</v>
      </c>
      <c r="C218" s="3" t="s">
        <v>566</v>
      </c>
      <c r="D218" s="4">
        <v>40674</v>
      </c>
      <c r="E218" s="5">
        <f ca="1">+_xlfn.DAYS(TODAY(),D218)/365.25</f>
        <v>13.82340862422998</v>
      </c>
      <c r="F218" s="6"/>
      <c r="G218" s="6" t="s">
        <v>12</v>
      </c>
      <c r="H218" s="8" t="s">
        <v>567</v>
      </c>
      <c r="I218" s="6" t="s">
        <v>568</v>
      </c>
    </row>
    <row r="219" spans="1:9" x14ac:dyDescent="0.25">
      <c r="A219" s="3" t="s">
        <v>538</v>
      </c>
      <c r="B219" s="3" t="s">
        <v>569</v>
      </c>
      <c r="C219" s="3" t="s">
        <v>570</v>
      </c>
      <c r="D219" s="4">
        <v>41632</v>
      </c>
      <c r="E219" s="5">
        <f ca="1">+_xlfn.DAYS(TODAY(),D219)/365.25</f>
        <v>11.200547570157427</v>
      </c>
      <c r="F219" s="6"/>
      <c r="G219" s="6" t="s">
        <v>96</v>
      </c>
      <c r="H219" s="8" t="s">
        <v>571</v>
      </c>
      <c r="I219" s="6" t="s">
        <v>572</v>
      </c>
    </row>
    <row r="220" spans="1:9" x14ac:dyDescent="0.25">
      <c r="A220" s="3" t="s">
        <v>538</v>
      </c>
      <c r="B220" s="3" t="s">
        <v>569</v>
      </c>
      <c r="C220" s="3" t="s">
        <v>573</v>
      </c>
      <c r="D220" s="4">
        <v>41632</v>
      </c>
      <c r="E220" s="5">
        <f ca="1">+_xlfn.DAYS(TODAY(),D220)/365.25</f>
        <v>11.200547570157427</v>
      </c>
      <c r="F220" s="6"/>
      <c r="G220" s="6" t="s">
        <v>96</v>
      </c>
      <c r="H220" s="8" t="s">
        <v>574</v>
      </c>
      <c r="I220" s="6" t="s">
        <v>572</v>
      </c>
    </row>
    <row r="221" spans="1:9" x14ac:dyDescent="0.25">
      <c r="A221" s="3" t="s">
        <v>575</v>
      </c>
      <c r="B221" s="3" t="s">
        <v>576</v>
      </c>
      <c r="C221" s="3" t="s">
        <v>577</v>
      </c>
      <c r="D221" s="4">
        <v>43873</v>
      </c>
      <c r="E221" s="5">
        <f ca="1">+_xlfn.DAYS(TODAY(),D221)/365.25</f>
        <v>5.0650239561943877</v>
      </c>
      <c r="F221" s="6"/>
      <c r="G221" s="6" t="s">
        <v>12</v>
      </c>
      <c r="H221" s="7" t="s">
        <v>578</v>
      </c>
      <c r="I221" s="6" t="s">
        <v>579</v>
      </c>
    </row>
    <row r="222" spans="1:9" x14ac:dyDescent="0.25">
      <c r="A222" s="3" t="s">
        <v>580</v>
      </c>
      <c r="B222" s="3" t="s">
        <v>581</v>
      </c>
      <c r="C222" s="3" t="s">
        <v>582</v>
      </c>
      <c r="D222" s="4">
        <v>44845</v>
      </c>
      <c r="E222" s="5">
        <f ca="1">+_xlfn.DAYS(TODAY(),D222)/365.25</f>
        <v>2.4038329911019849</v>
      </c>
      <c r="F222" s="6"/>
      <c r="G222" s="6" t="s">
        <v>12</v>
      </c>
      <c r="H222" s="7" t="s">
        <v>583</v>
      </c>
      <c r="I222" s="6" t="s">
        <v>584</v>
      </c>
    </row>
    <row r="223" spans="1:9" x14ac:dyDescent="0.25">
      <c r="A223" s="13" t="s">
        <v>580</v>
      </c>
      <c r="B223" s="13" t="s">
        <v>581</v>
      </c>
      <c r="C223" s="3" t="s">
        <v>585</v>
      </c>
      <c r="D223" s="14">
        <v>45358</v>
      </c>
      <c r="E223" s="5">
        <f ca="1">+_xlfn.DAYS(TODAY(),D223)/365.25</f>
        <v>0.99931553730321698</v>
      </c>
      <c r="F223" s="6"/>
      <c r="G223" s="6" t="s">
        <v>12</v>
      </c>
      <c r="H223" s="7" t="s">
        <v>586</v>
      </c>
      <c r="I223" s="6" t="s">
        <v>584</v>
      </c>
    </row>
    <row r="224" spans="1:9" x14ac:dyDescent="0.25">
      <c r="A224" s="13" t="s">
        <v>580</v>
      </c>
      <c r="B224" s="13" t="s">
        <v>581</v>
      </c>
      <c r="C224" s="3" t="s">
        <v>587</v>
      </c>
      <c r="D224" s="14">
        <v>45409</v>
      </c>
      <c r="E224" s="5">
        <f ca="1">+_xlfn.DAYS(TODAY(),D224)/365.25</f>
        <v>0.85968514715947986</v>
      </c>
      <c r="F224" s="6"/>
      <c r="G224" s="6" t="s">
        <v>12</v>
      </c>
      <c r="H224" s="7" t="s">
        <v>588</v>
      </c>
      <c r="I224" s="6" t="s">
        <v>584</v>
      </c>
    </row>
    <row r="225" spans="1:9" x14ac:dyDescent="0.25">
      <c r="A225" s="13" t="s">
        <v>580</v>
      </c>
      <c r="B225" s="13" t="s">
        <v>581</v>
      </c>
      <c r="C225" s="3" t="s">
        <v>589</v>
      </c>
      <c r="D225" s="14">
        <v>45409</v>
      </c>
      <c r="E225" s="5">
        <f ca="1">+_xlfn.DAYS(TODAY(),D225)/365.25</f>
        <v>0.85968514715947986</v>
      </c>
      <c r="F225" s="6"/>
      <c r="G225" s="6" t="s">
        <v>12</v>
      </c>
      <c r="H225" s="7" t="s">
        <v>590</v>
      </c>
      <c r="I225" s="6" t="s">
        <v>584</v>
      </c>
    </row>
    <row r="226" spans="1:9" x14ac:dyDescent="0.25">
      <c r="A226" s="13" t="s">
        <v>580</v>
      </c>
      <c r="B226" s="13" t="s">
        <v>581</v>
      </c>
      <c r="C226" s="3" t="s">
        <v>591</v>
      </c>
      <c r="D226" s="16">
        <v>45421</v>
      </c>
      <c r="E226" s="5">
        <f ca="1">+_xlfn.DAYS(TODAY(),D226)/365.25</f>
        <v>0.8268309377138946</v>
      </c>
      <c r="F226" s="6"/>
      <c r="G226" s="6" t="s">
        <v>12</v>
      </c>
      <c r="H226" s="12" t="s">
        <v>592</v>
      </c>
      <c r="I226" s="9"/>
    </row>
    <row r="227" spans="1:9" x14ac:dyDescent="0.25">
      <c r="A227" s="3" t="s">
        <v>593</v>
      </c>
      <c r="B227" s="3" t="s">
        <v>593</v>
      </c>
      <c r="C227" s="3" t="s">
        <v>594</v>
      </c>
      <c r="D227" s="4">
        <v>43173</v>
      </c>
      <c r="E227" s="5">
        <f ca="1">+_xlfn.DAYS(TODAY(),D227)/365.25</f>
        <v>6.9815195071868583</v>
      </c>
      <c r="F227" s="6"/>
      <c r="G227" s="6" t="s">
        <v>595</v>
      </c>
      <c r="H227" s="7" t="s">
        <v>596</v>
      </c>
      <c r="I227" s="6" t="s">
        <v>597</v>
      </c>
    </row>
    <row r="228" spans="1:9" x14ac:dyDescent="0.25">
      <c r="A228" s="10" t="s">
        <v>593</v>
      </c>
      <c r="B228" s="10" t="s">
        <v>593</v>
      </c>
      <c r="C228" s="3" t="s">
        <v>598</v>
      </c>
      <c r="D228" s="16">
        <v>43836</v>
      </c>
      <c r="E228" s="5">
        <f ca="1">+_xlfn.DAYS(TODAY(),D228)/365.25</f>
        <v>5.1663244353182751</v>
      </c>
      <c r="F228" s="6"/>
      <c r="G228" s="6" t="s">
        <v>99</v>
      </c>
      <c r="H228" s="7" t="s">
        <v>599</v>
      </c>
      <c r="I228" s="6" t="s">
        <v>597</v>
      </c>
    </row>
    <row r="229" spans="1:9" x14ac:dyDescent="0.25">
      <c r="A229" s="3" t="s">
        <v>600</v>
      </c>
      <c r="B229" s="3" t="s">
        <v>601</v>
      </c>
      <c r="C229" s="3" t="s">
        <v>602</v>
      </c>
      <c r="D229" s="4">
        <v>43241</v>
      </c>
      <c r="E229" s="5">
        <f ca="1">+_xlfn.DAYS(TODAY(),D229)/365.25</f>
        <v>6.795345653661875</v>
      </c>
      <c r="F229" s="6"/>
      <c r="G229" s="6" t="s">
        <v>12</v>
      </c>
      <c r="H229" s="9"/>
      <c r="I229" s="9"/>
    </row>
    <row r="230" spans="1:9" x14ac:dyDescent="0.25">
      <c r="A230" s="3" t="s">
        <v>600</v>
      </c>
      <c r="B230" s="3" t="s">
        <v>603</v>
      </c>
      <c r="C230" s="3" t="s">
        <v>604</v>
      </c>
      <c r="D230" s="4">
        <v>44281</v>
      </c>
      <c r="E230" s="5">
        <f ca="1">+_xlfn.DAYS(TODAY(),D230)/365.25</f>
        <v>3.9479808350444903</v>
      </c>
      <c r="F230" s="6"/>
      <c r="G230" s="6" t="s">
        <v>12</v>
      </c>
      <c r="H230" s="7" t="s">
        <v>605</v>
      </c>
      <c r="I230" s="6" t="s">
        <v>606</v>
      </c>
    </row>
    <row r="231" spans="1:9" x14ac:dyDescent="0.25">
      <c r="A231" s="3" t="s">
        <v>600</v>
      </c>
      <c r="B231" s="3" t="s">
        <v>607</v>
      </c>
      <c r="C231" s="3" t="s">
        <v>608</v>
      </c>
      <c r="D231" s="4">
        <v>42736</v>
      </c>
      <c r="E231" s="5">
        <f ca="1">+_xlfn.DAYS(TODAY(),D231)/365.25</f>
        <v>8.1779603011635871</v>
      </c>
      <c r="F231" s="6"/>
      <c r="G231" s="6" t="s">
        <v>12</v>
      </c>
      <c r="H231" s="8" t="s">
        <v>609</v>
      </c>
      <c r="I231" s="9"/>
    </row>
    <row r="232" spans="1:9" x14ac:dyDescent="0.25">
      <c r="A232" s="3" t="s">
        <v>600</v>
      </c>
      <c r="B232" s="3" t="s">
        <v>607</v>
      </c>
      <c r="C232" s="3" t="s">
        <v>610</v>
      </c>
      <c r="D232" s="4">
        <v>43069</v>
      </c>
      <c r="E232" s="5">
        <f ca="1">+_xlfn.DAYS(TODAY(),D232)/365.25</f>
        <v>7.2662559890485969</v>
      </c>
      <c r="F232" s="6"/>
      <c r="G232" s="6" t="s">
        <v>12</v>
      </c>
      <c r="H232" s="9"/>
      <c r="I232" s="9"/>
    </row>
    <row r="233" spans="1:9" x14ac:dyDescent="0.25">
      <c r="A233" s="3" t="s">
        <v>600</v>
      </c>
      <c r="B233" s="3" t="s">
        <v>607</v>
      </c>
      <c r="C233" s="3" t="s">
        <v>611</v>
      </c>
      <c r="D233" s="4">
        <v>43069</v>
      </c>
      <c r="E233" s="5">
        <f ca="1">+_xlfn.DAYS(TODAY(),D233)/365.25</f>
        <v>7.2662559890485969</v>
      </c>
      <c r="F233" s="6"/>
      <c r="G233" s="6" t="s">
        <v>12</v>
      </c>
      <c r="H233" s="12" t="s">
        <v>612</v>
      </c>
      <c r="I233" s="9"/>
    </row>
    <row r="234" spans="1:9" x14ac:dyDescent="0.25">
      <c r="A234" s="19" t="s">
        <v>613</v>
      </c>
      <c r="B234" s="19" t="s">
        <v>614</v>
      </c>
      <c r="C234" s="19" t="s">
        <v>615</v>
      </c>
      <c r="D234" s="20">
        <v>40436</v>
      </c>
      <c r="E234" s="5">
        <f ca="1">+_xlfn.DAYS(TODAY(),D234)/365.25</f>
        <v>14.47501711156742</v>
      </c>
      <c r="F234" s="21"/>
      <c r="G234" s="22" t="s">
        <v>378</v>
      </c>
      <c r="H234" s="24"/>
      <c r="I234" s="24"/>
    </row>
    <row r="235" spans="1:9" x14ac:dyDescent="0.25">
      <c r="A235" s="23" t="s">
        <v>616</v>
      </c>
      <c r="B235" s="3" t="s">
        <v>617</v>
      </c>
      <c r="C235" s="3" t="s">
        <v>618</v>
      </c>
      <c r="D235" s="4">
        <v>40066</v>
      </c>
      <c r="E235" s="5">
        <f ca="1">+_xlfn.DAYS(TODAY(),D235)/365.25</f>
        <v>15.488021902806297</v>
      </c>
      <c r="F235" s="6"/>
      <c r="G235" s="6" t="s">
        <v>12</v>
      </c>
      <c r="H235" s="8" t="s">
        <v>619</v>
      </c>
      <c r="I235" s="6" t="s">
        <v>620</v>
      </c>
    </row>
    <row r="236" spans="1:9" x14ac:dyDescent="0.25">
      <c r="A236" s="23" t="s">
        <v>616</v>
      </c>
      <c r="B236" s="23" t="s">
        <v>617</v>
      </c>
      <c r="C236" s="19" t="s">
        <v>621</v>
      </c>
      <c r="D236" s="20">
        <v>40287</v>
      </c>
      <c r="E236" s="5">
        <f ca="1">+_xlfn.DAYS(TODAY(),D236)/365.25</f>
        <v>14.882956878850102</v>
      </c>
      <c r="F236" s="21"/>
      <c r="G236" s="22" t="s">
        <v>12</v>
      </c>
      <c r="H236" s="21" t="s">
        <v>622</v>
      </c>
      <c r="I236" s="18" t="s">
        <v>623</v>
      </c>
    </row>
    <row r="237" spans="1:9" x14ac:dyDescent="0.25">
      <c r="A237" s="23" t="s">
        <v>616</v>
      </c>
      <c r="B237" s="23" t="s">
        <v>617</v>
      </c>
      <c r="C237" s="23" t="s">
        <v>624</v>
      </c>
      <c r="D237" s="20">
        <v>40289</v>
      </c>
      <c r="E237" s="5">
        <f ca="1">+_xlfn.DAYS(TODAY(),D237)/365.25</f>
        <v>14.877481177275838</v>
      </c>
      <c r="F237" s="21"/>
      <c r="G237" s="26" t="s">
        <v>27</v>
      </c>
      <c r="H237" s="23" t="s">
        <v>625</v>
      </c>
      <c r="I237" s="21" t="s">
        <v>623</v>
      </c>
    </row>
    <row r="238" spans="1:9" x14ac:dyDescent="0.25">
      <c r="A238" s="23" t="s">
        <v>626</v>
      </c>
      <c r="B238" s="19" t="s">
        <v>627</v>
      </c>
      <c r="C238" s="23" t="s">
        <v>628</v>
      </c>
      <c r="D238" s="20">
        <v>38834</v>
      </c>
      <c r="E238" s="5">
        <f ca="1">+_xlfn.DAYS(TODAY(),D238)/365.25</f>
        <v>18.861054072553046</v>
      </c>
      <c r="F238" s="21"/>
      <c r="G238" s="22" t="s">
        <v>629</v>
      </c>
      <c r="H238" s="24"/>
      <c r="I238" s="24"/>
    </row>
    <row r="239" spans="1:9" ht="15.75" x14ac:dyDescent="0.25">
      <c r="C239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Ouali</dc:creator>
  <cp:lastModifiedBy>Anas Ouali</cp:lastModifiedBy>
  <dcterms:created xsi:type="dcterms:W3CDTF">2025-03-07T09:41:07Z</dcterms:created>
  <dcterms:modified xsi:type="dcterms:W3CDTF">2025-03-07T09:43:14Z</dcterms:modified>
</cp:coreProperties>
</file>